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gineering_constants" sheetId="1" state="visible" r:id="rId1"/>
    <sheet xmlns:r="http://schemas.openxmlformats.org/officeDocument/2006/relationships" name="quick_reference" sheetId="2" state="visible" r:id="rId2"/>
    <sheet xmlns:r="http://schemas.openxmlformats.org/officeDocument/2006/relationships" name="constants_in_common_units" sheetId="3" state="visible" r:id="rId3"/>
    <sheet xmlns:r="http://schemas.openxmlformats.org/officeDocument/2006/relationships" name="dimensional_analysis_helpers" sheetId="4" state="visible" r:id="rId4"/>
    <sheet xmlns:r="http://schemas.openxmlformats.org/officeDocument/2006/relationships" name="sourc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Consolas"/>
      <b val="1"/>
      <color rgb="001F4E79"/>
      <sz val="11"/>
    </font>
    <font>
      <name val="Arial"/>
      <b val="1"/>
      <color rgb="001F4E79"/>
      <sz val="10"/>
    </font>
    <font>
      <name val="Consolas"/>
      <b val="1"/>
      <color rgb="001F4E79"/>
      <sz val="10"/>
    </font>
    <font>
      <name val="Arial"/>
      <b val="1"/>
      <color rgb="00000000"/>
      <sz val="10"/>
    </font>
    <font>
      <name val="Arial"/>
      <b val="1"/>
      <color rgb="00FFFFFF"/>
      <sz val="12"/>
    </font>
    <font>
      <name val="Arial"/>
      <sz val="10"/>
    </font>
    <font>
      <name val="Arial"/>
      <color rgb="000000CC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7" fillId="2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18" customWidth="1" min="4" max="4"/>
    <col width="16" customWidth="1" min="5" max="5"/>
    <col width="26" customWidth="1" min="6" max="6"/>
    <col width="32" customWidth="1" min="7" max="7"/>
    <col width="28" customWidth="1" min="8" max="8"/>
    <col width="7" customWidth="1" min="9" max="9"/>
    <col width="24" customWidth="1" min="10" max="10"/>
    <col width="55" customWidth="1" min="11" max="11"/>
  </cols>
  <sheetData>
    <row r="1" ht="32" customHeight="1">
      <c r="A1" s="1" t="inlineStr">
        <is>
          <t>symbol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uncertainty</t>
        </is>
      </c>
      <c r="E1" s="1" t="inlineStr">
        <is>
          <t>unit_symbol</t>
        </is>
      </c>
      <c r="F1" s="1" t="inlineStr">
        <is>
          <t>SI_unit_expanded</t>
        </is>
      </c>
      <c r="G1" s="1" t="inlineStr">
        <is>
          <t>dimension_vector</t>
        </is>
      </c>
      <c r="H1" s="1" t="inlineStr">
        <is>
          <t>category</t>
        </is>
      </c>
      <c r="I1" s="1" t="inlineStr">
        <is>
          <t>exact</t>
        </is>
      </c>
      <c r="J1" s="1" t="inlineStr">
        <is>
          <t>CODATA_2018_value</t>
        </is>
      </c>
      <c r="K1" s="1" t="inlineStr">
        <is>
          <t>notes</t>
        </is>
      </c>
    </row>
    <row r="2" ht="18" customHeight="1">
      <c r="A2" s="2" t="inlineStr">
        <is>
          <t>UNIVERSAL / FUNDAMENTAL CONSTANTS</t>
        </is>
      </c>
    </row>
    <row r="3" ht="16" customHeight="1">
      <c r="A3" s="3" t="inlineStr">
        <is>
          <t>c</t>
        </is>
      </c>
      <c r="B3" s="4" t="inlineStr">
        <is>
          <t>Speed of light in vacuum</t>
        </is>
      </c>
      <c r="C3" s="5" t="n">
        <v>299792458</v>
      </c>
      <c r="D3" s="4" t="inlineStr">
        <is>
          <t>exact</t>
        </is>
      </c>
      <c r="E3" s="4" t="inlineStr">
        <is>
          <t>m/s</t>
        </is>
      </c>
      <c r="F3" s="4" t="inlineStr">
        <is>
          <t>m·s⁻¹</t>
        </is>
      </c>
      <c r="G3" s="4" t="inlineStr">
        <is>
          <t>L T⁻¹</t>
        </is>
      </c>
      <c r="H3" s="4" t="inlineStr">
        <is>
          <t>Universal</t>
        </is>
      </c>
      <c r="I3" s="6" t="inlineStr">
        <is>
          <t>Y</t>
        </is>
      </c>
      <c r="J3" s="4" t="inlineStr">
        <is>
          <t>299 792 458</t>
        </is>
      </c>
      <c r="K3" s="4" t="inlineStr">
        <is>
          <t>Exact by SI 2019 definition; NIST CODATA 2018</t>
        </is>
      </c>
    </row>
    <row r="4" ht="16" customHeight="1">
      <c r="A4" s="7" t="inlineStr">
        <is>
          <t>h</t>
        </is>
      </c>
      <c r="B4" s="8" t="inlineStr">
        <is>
          <t>Planck constant</t>
        </is>
      </c>
      <c r="C4" s="9" t="n">
        <v>6.62607015e-34</v>
      </c>
      <c r="D4" s="8" t="inlineStr">
        <is>
          <t>exact</t>
        </is>
      </c>
      <c r="E4" s="8" t="inlineStr">
        <is>
          <t>J·s</t>
        </is>
      </c>
      <c r="F4" s="8" t="inlineStr">
        <is>
          <t>kg·m²·s⁻¹</t>
        </is>
      </c>
      <c r="G4" s="8" t="inlineStr">
        <is>
          <t>M L² T⁻¹</t>
        </is>
      </c>
      <c r="H4" s="8" t="inlineStr">
        <is>
          <t>Universal</t>
        </is>
      </c>
      <c r="I4" s="10" t="inlineStr">
        <is>
          <t>Y</t>
        </is>
      </c>
      <c r="J4" s="8" t="inlineStr">
        <is>
          <t>6.626 070 15 × 10⁻³⁴</t>
        </is>
      </c>
      <c r="K4" s="8" t="inlineStr">
        <is>
          <t>Exact by SI 2019; defines kg</t>
        </is>
      </c>
    </row>
    <row r="5" ht="16" customHeight="1">
      <c r="A5" s="3" t="inlineStr">
        <is>
          <t>ħ</t>
        </is>
      </c>
      <c r="B5" s="4" t="inlineStr">
        <is>
          <t>Reduced Planck constant (h-bar)</t>
        </is>
      </c>
      <c r="C5" s="5" t="n">
        <v>1.054571817e-34</v>
      </c>
      <c r="D5" s="4" t="inlineStr">
        <is>
          <t>exact</t>
        </is>
      </c>
      <c r="E5" s="4" t="inlineStr">
        <is>
          <t>J·s</t>
        </is>
      </c>
      <c r="F5" s="4" t="inlineStr">
        <is>
          <t>kg·m²·s⁻¹</t>
        </is>
      </c>
      <c r="G5" s="4" t="inlineStr">
        <is>
          <t>M L² T⁻¹</t>
        </is>
      </c>
      <c r="H5" s="4" t="inlineStr">
        <is>
          <t>Universal</t>
        </is>
      </c>
      <c r="I5" s="6" t="inlineStr">
        <is>
          <t>Y</t>
        </is>
      </c>
      <c r="J5" s="4" t="inlineStr">
        <is>
          <t>1.054 571 817 × 10⁻³⁴</t>
        </is>
      </c>
      <c r="K5" s="4" t="inlineStr">
        <is>
          <t>ħ = h/(2π); exact</t>
        </is>
      </c>
    </row>
    <row r="6" ht="16" customHeight="1">
      <c r="A6" s="7" t="inlineStr">
        <is>
          <t>G</t>
        </is>
      </c>
      <c r="B6" s="8" t="inlineStr">
        <is>
          <t>Newtonian constant of gravitation</t>
        </is>
      </c>
      <c r="C6" s="9" t="n">
        <v>6.674299999999999e-11</v>
      </c>
      <c r="D6" s="8" t="inlineStr">
        <is>
          <t>±0.00015 × 10⁻¹¹</t>
        </is>
      </c>
      <c r="E6" s="8" t="inlineStr">
        <is>
          <t>m³·kg⁻¹·s⁻²</t>
        </is>
      </c>
      <c r="F6" s="8" t="inlineStr">
        <is>
          <t>m³·kg⁻¹·s⁻²</t>
        </is>
      </c>
      <c r="G6" s="8" t="inlineStr">
        <is>
          <t>M⁻¹ L³ T⁻²</t>
        </is>
      </c>
      <c r="H6" s="8" t="inlineStr">
        <is>
          <t>Universal</t>
        </is>
      </c>
      <c r="I6" s="10" t="inlineStr">
        <is>
          <t>N</t>
        </is>
      </c>
      <c r="J6" s="8" t="inlineStr">
        <is>
          <t>6.674 30 × 10⁻¹¹</t>
        </is>
      </c>
      <c r="K6" s="8" t="inlineStr">
        <is>
          <t>NIST CODATA 2018; relative std. uncert. 2.2 × 10⁻⁵</t>
        </is>
      </c>
    </row>
    <row r="7" ht="16" customHeight="1">
      <c r="A7" s="3" t="inlineStr">
        <is>
          <t>μ₀</t>
        </is>
      </c>
      <c r="B7" s="4" t="inlineStr">
        <is>
          <t>Vacuum magnetic permeability</t>
        </is>
      </c>
      <c r="C7" s="5" t="n">
        <v>1.25663706212e-06</v>
      </c>
      <c r="D7" s="4" t="inlineStr">
        <is>
          <t>±0.00000000019 × 10⁻⁶</t>
        </is>
      </c>
      <c r="E7" s="4" t="inlineStr">
        <is>
          <t>N·A⁻²</t>
        </is>
      </c>
      <c r="F7" s="4" t="inlineStr">
        <is>
          <t>kg·m·s⁻²·A⁻²</t>
        </is>
      </c>
      <c r="G7" s="4" t="inlineStr">
        <is>
          <t>M L T⁻² I⁻²</t>
        </is>
      </c>
      <c r="H7" s="4" t="inlineStr">
        <is>
          <t>Universal</t>
        </is>
      </c>
      <c r="I7" s="6" t="inlineStr">
        <is>
          <t>N</t>
        </is>
      </c>
      <c r="J7" s="4" t="inlineStr">
        <is>
          <t>1.256 637 062 12 × 10⁻⁶</t>
        </is>
      </c>
      <c r="K7" s="4" t="inlineStr">
        <is>
          <t>No longer exact post-2019 SI; CODATA 2018</t>
        </is>
      </c>
    </row>
    <row r="8" ht="16" customHeight="1">
      <c r="A8" s="7" t="inlineStr">
        <is>
          <t>ε₀</t>
        </is>
      </c>
      <c r="B8" s="8" t="inlineStr">
        <is>
          <t>Vacuum electric permittivity</t>
        </is>
      </c>
      <c r="C8" s="9" t="n">
        <v>8.854187812800001e-12</v>
      </c>
      <c r="D8" s="8" t="inlineStr">
        <is>
          <t>±0.0000000013 × 10⁻¹²</t>
        </is>
      </c>
      <c r="E8" s="8" t="inlineStr">
        <is>
          <t>F·m⁻¹</t>
        </is>
      </c>
      <c r="F8" s="8" t="inlineStr">
        <is>
          <t>kg⁻¹·m⁻³·s⁴·A²</t>
        </is>
      </c>
      <c r="G8" s="8" t="inlineStr">
        <is>
          <t>M⁻¹ L⁻³ T⁴ I²</t>
        </is>
      </c>
      <c r="H8" s="8" t="inlineStr">
        <is>
          <t>Universal</t>
        </is>
      </c>
      <c r="I8" s="10" t="inlineStr">
        <is>
          <t>N</t>
        </is>
      </c>
      <c r="J8" s="8" t="inlineStr">
        <is>
          <t>8.854 187 8128 × 10⁻¹²</t>
        </is>
      </c>
      <c r="K8" s="8" t="inlineStr">
        <is>
          <t>ε₀ = 1/(μ₀c²); CODATA 2018</t>
        </is>
      </c>
    </row>
    <row r="9" ht="16" customHeight="1">
      <c r="A9" s="3" t="inlineStr">
        <is>
          <t>Z₀</t>
        </is>
      </c>
      <c r="B9" s="4" t="inlineStr">
        <is>
          <t>Characteristic impedance of vacuum</t>
        </is>
      </c>
      <c r="C9" s="5" t="n">
        <v>376.730313668</v>
      </c>
      <c r="D9" s="4" t="inlineStr">
        <is>
          <t>exact</t>
        </is>
      </c>
      <c r="E9" s="4" t="inlineStr">
        <is>
          <t>Ω</t>
        </is>
      </c>
      <c r="F9" s="4" t="inlineStr">
        <is>
          <t>kg·m²·s⁻³·A⁻²</t>
        </is>
      </c>
      <c r="G9" s="4" t="inlineStr">
        <is>
          <t>M L² T⁻³ I⁻²</t>
        </is>
      </c>
      <c r="H9" s="4" t="inlineStr">
        <is>
          <t>Universal</t>
        </is>
      </c>
      <c r="I9" s="6" t="inlineStr">
        <is>
          <t>Y</t>
        </is>
      </c>
      <c r="J9" s="4" t="inlineStr">
        <is>
          <t>376.730 313 668</t>
        </is>
      </c>
      <c r="K9" s="4" t="inlineStr">
        <is>
          <t>Z₀ = μ₀c; exact</t>
        </is>
      </c>
    </row>
    <row r="10" ht="16" customHeight="1">
      <c r="A10" s="7" t="inlineStr">
        <is>
          <t>σ_SB</t>
        </is>
      </c>
      <c r="B10" s="8" t="inlineStr">
        <is>
          <t>Stefan–Boltzmann constant</t>
        </is>
      </c>
      <c r="C10" s="9" t="n">
        <v>5.670374419e-08</v>
      </c>
      <c r="D10" s="8" t="inlineStr">
        <is>
          <t>exact</t>
        </is>
      </c>
      <c r="E10" s="8" t="inlineStr">
        <is>
          <t>W·m⁻²·K⁻⁴</t>
        </is>
      </c>
      <c r="F10" s="8" t="inlineStr">
        <is>
          <t>kg·s⁻³·K⁻⁴</t>
        </is>
      </c>
      <c r="G10" s="8" t="inlineStr">
        <is>
          <t>M T⁻³ Th⁻⁴</t>
        </is>
      </c>
      <c r="H10" s="8" t="inlineStr">
        <is>
          <t>Universal</t>
        </is>
      </c>
      <c r="I10" s="10" t="inlineStr">
        <is>
          <t>Y</t>
        </is>
      </c>
      <c r="J10" s="8" t="inlineStr">
        <is>
          <t>5.670 374 419 × 10⁻⁸</t>
        </is>
      </c>
      <c r="K10" s="8" t="inlineStr">
        <is>
          <t>σ = 2π⁵k_B⁴/(15h³c²); exact post-2019</t>
        </is>
      </c>
    </row>
    <row r="11" ht="16" customHeight="1">
      <c r="A11" s="3" t="inlineStr">
        <is>
          <t>a_rad</t>
        </is>
      </c>
      <c r="B11" s="4" t="inlineStr">
        <is>
          <t>Radiation constant (a = 4σ/c)</t>
        </is>
      </c>
      <c r="C11" s="5" t="n">
        <v>7.5657e-16</v>
      </c>
      <c r="D11" s="4" t="inlineStr">
        <is>
          <t>exact</t>
        </is>
      </c>
      <c r="E11" s="4" t="inlineStr">
        <is>
          <t>J·m⁻³·K⁻⁴</t>
        </is>
      </c>
      <c r="F11" s="4" t="inlineStr">
        <is>
          <t>kg·m⁻¹·s⁻²·K⁻⁴</t>
        </is>
      </c>
      <c r="G11" s="4" t="inlineStr">
        <is>
          <t>M L⁻¹ T⁻² Th⁻⁴</t>
        </is>
      </c>
      <c r="H11" s="4" t="inlineStr">
        <is>
          <t>Universal</t>
        </is>
      </c>
      <c r="I11" s="6" t="inlineStr">
        <is>
          <t>Y</t>
        </is>
      </c>
      <c r="J11" s="4" t="inlineStr">
        <is>
          <t>7.5657 × 10⁻¹⁶</t>
        </is>
      </c>
      <c r="K11" s="4" t="inlineStr">
        <is>
          <t>Radiation (energy density) constant; a = 4σ/c</t>
        </is>
      </c>
    </row>
    <row r="12" ht="16" customHeight="1">
      <c r="A12" s="7" t="inlineStr">
        <is>
          <t>b_wien</t>
        </is>
      </c>
      <c r="B12" s="8" t="inlineStr">
        <is>
          <t>Wien displacement law constant</t>
        </is>
      </c>
      <c r="C12" s="9" t="n">
        <v>0.002897771955</v>
      </c>
      <c r="D12" s="8" t="inlineStr">
        <is>
          <t>exact</t>
        </is>
      </c>
      <c r="E12" s="8" t="inlineStr">
        <is>
          <t>m·K</t>
        </is>
      </c>
      <c r="F12" s="8" t="inlineStr">
        <is>
          <t>m·K</t>
        </is>
      </c>
      <c r="G12" s="8" t="inlineStr">
        <is>
          <t>L Th</t>
        </is>
      </c>
      <c r="H12" s="8" t="inlineStr">
        <is>
          <t>Universal</t>
        </is>
      </c>
      <c r="I12" s="10" t="inlineStr">
        <is>
          <t>Y</t>
        </is>
      </c>
      <c r="J12" s="8" t="inlineStr">
        <is>
          <t>2.897 771 955 × 10⁻³</t>
        </is>
      </c>
      <c r="K12" s="8" t="inlineStr">
        <is>
          <t>λ_max·T = b; exact post-2019 SI</t>
        </is>
      </c>
    </row>
    <row r="13" ht="16" customHeight="1">
      <c r="A13" s="3" t="inlineStr">
        <is>
          <t>b_wien_f</t>
        </is>
      </c>
      <c r="B13" s="4" t="inlineStr">
        <is>
          <t>Wien frequency displacement constant</t>
        </is>
      </c>
      <c r="C13" s="5" t="n">
        <v>58789257570</v>
      </c>
      <c r="D13" s="4" t="inlineStr">
        <is>
          <t>exact</t>
        </is>
      </c>
      <c r="E13" s="4" t="inlineStr">
        <is>
          <t>Hz·K⁻¹</t>
        </is>
      </c>
      <c r="F13" s="4" t="inlineStr">
        <is>
          <t>s⁻¹·K⁻¹</t>
        </is>
      </c>
      <c r="G13" s="4" t="inlineStr">
        <is>
          <t>T⁻¹ Th⁻¹</t>
        </is>
      </c>
      <c r="H13" s="4" t="inlineStr">
        <is>
          <t>Universal</t>
        </is>
      </c>
      <c r="I13" s="6" t="inlineStr">
        <is>
          <t>Y</t>
        </is>
      </c>
      <c r="J13" s="4" t="inlineStr">
        <is>
          <t>5.878 925 757 × 10¹⁰</t>
        </is>
      </c>
      <c r="K13" s="4" t="inlineStr">
        <is>
          <t>ν_max/T = b'; exact</t>
        </is>
      </c>
    </row>
    <row r="14" ht="18" customHeight="1">
      <c r="A14" s="2" t="inlineStr">
        <is>
          <t>ELECTROMAGNETIC CONSTANTS</t>
        </is>
      </c>
    </row>
    <row r="15" ht="16" customHeight="1">
      <c r="A15" s="3" t="inlineStr">
        <is>
          <t>e</t>
        </is>
      </c>
      <c r="B15" s="4" t="inlineStr">
        <is>
          <t>Elementary charge</t>
        </is>
      </c>
      <c r="C15" s="5" t="n">
        <v>1.602176634e-19</v>
      </c>
      <c r="D15" s="4" t="inlineStr">
        <is>
          <t>exact</t>
        </is>
      </c>
      <c r="E15" s="4" t="inlineStr">
        <is>
          <t>C</t>
        </is>
      </c>
      <c r="F15" s="4" t="inlineStr">
        <is>
          <t>A·s</t>
        </is>
      </c>
      <c r="G15" s="4" t="inlineStr">
        <is>
          <t>T I</t>
        </is>
      </c>
      <c r="H15" s="4" t="inlineStr">
        <is>
          <t>Electromagnetic</t>
        </is>
      </c>
      <c r="I15" s="6" t="inlineStr">
        <is>
          <t>Y</t>
        </is>
      </c>
      <c r="J15" s="4" t="inlineStr">
        <is>
          <t>1.602 176 634 × 10⁻¹⁹</t>
        </is>
      </c>
      <c r="K15" s="4" t="inlineStr">
        <is>
          <t>Exact by SI 2019; defines ampere</t>
        </is>
      </c>
    </row>
    <row r="16" ht="16" customHeight="1">
      <c r="A16" s="7" t="inlineStr">
        <is>
          <t>Φ₀</t>
        </is>
      </c>
      <c r="B16" s="8" t="inlineStr">
        <is>
          <t>Magnetic flux quantum</t>
        </is>
      </c>
      <c r="C16" s="9" t="n">
        <v>2.067833848e-15</v>
      </c>
      <c r="D16" s="8" t="inlineStr">
        <is>
          <t>exact</t>
        </is>
      </c>
      <c r="E16" s="8" t="inlineStr">
        <is>
          <t>Wb</t>
        </is>
      </c>
      <c r="F16" s="8" t="inlineStr">
        <is>
          <t>kg·m²·s⁻²·A⁻¹</t>
        </is>
      </c>
      <c r="G16" s="8" t="inlineStr">
        <is>
          <t>M L² T⁻² I⁻¹</t>
        </is>
      </c>
      <c r="H16" s="8" t="inlineStr">
        <is>
          <t>Electromagnetic</t>
        </is>
      </c>
      <c r="I16" s="10" t="inlineStr">
        <is>
          <t>Y</t>
        </is>
      </c>
      <c r="J16" s="8" t="inlineStr">
        <is>
          <t>2.067 833 848 × 10⁻¹⁵</t>
        </is>
      </c>
      <c r="K16" s="8" t="inlineStr">
        <is>
          <t>Φ₀ = h/(2e); exact</t>
        </is>
      </c>
    </row>
    <row r="17" ht="16" customHeight="1">
      <c r="A17" s="3" t="inlineStr">
        <is>
          <t>G₀</t>
        </is>
      </c>
      <c r="B17" s="4" t="inlineStr">
        <is>
          <t>Conductance quantum</t>
        </is>
      </c>
      <c r="C17" s="5" t="n">
        <v>7.748091729e-05</v>
      </c>
      <c r="D17" s="4" t="inlineStr">
        <is>
          <t>exact</t>
        </is>
      </c>
      <c r="E17" s="4" t="inlineStr">
        <is>
          <t>S</t>
        </is>
      </c>
      <c r="F17" s="4" t="inlineStr">
        <is>
          <t>kg⁻¹·m⁻²·s³·A²</t>
        </is>
      </c>
      <c r="G17" s="4" t="inlineStr">
        <is>
          <t>M⁻¹ L⁻² T³ I²</t>
        </is>
      </c>
      <c r="H17" s="4" t="inlineStr">
        <is>
          <t>Electromagnetic</t>
        </is>
      </c>
      <c r="I17" s="6" t="inlineStr">
        <is>
          <t>Y</t>
        </is>
      </c>
      <c r="J17" s="4" t="inlineStr">
        <is>
          <t>7.748 091 729 × 10⁻⁵</t>
        </is>
      </c>
      <c r="K17" s="4" t="inlineStr">
        <is>
          <t>G₀ = 2e²/h; exact</t>
        </is>
      </c>
    </row>
    <row r="18" ht="16" customHeight="1">
      <c r="A18" s="7" t="inlineStr">
        <is>
          <t>K_J</t>
        </is>
      </c>
      <c r="B18" s="8" t="inlineStr">
        <is>
          <t>Josephson constant</t>
        </is>
      </c>
      <c r="C18" s="9" t="n">
        <v>483597848400000</v>
      </c>
      <c r="D18" s="8" t="inlineStr">
        <is>
          <t>exact</t>
        </is>
      </c>
      <c r="E18" s="8" t="inlineStr">
        <is>
          <t>Hz·V⁻¹</t>
        </is>
      </c>
      <c r="F18" s="8" t="inlineStr">
        <is>
          <t>kg⁻¹·m⁻²·s²·A</t>
        </is>
      </c>
      <c r="G18" s="8" t="inlineStr">
        <is>
          <t>M⁻¹ L⁻² T² I</t>
        </is>
      </c>
      <c r="H18" s="8" t="inlineStr">
        <is>
          <t>Electromagnetic</t>
        </is>
      </c>
      <c r="I18" s="10" t="inlineStr">
        <is>
          <t>Y</t>
        </is>
      </c>
      <c r="J18" s="8" t="inlineStr">
        <is>
          <t>483 597.848 4 × 10⁹</t>
        </is>
      </c>
      <c r="K18" s="8" t="inlineStr">
        <is>
          <t>K_J = 2e/h; exact</t>
        </is>
      </c>
    </row>
    <row r="19" ht="16" customHeight="1">
      <c r="A19" s="3" t="inlineStr">
        <is>
          <t>R_K</t>
        </is>
      </c>
      <c r="B19" s="4" t="inlineStr">
        <is>
          <t>von Klitzing constant</t>
        </is>
      </c>
      <c r="C19" s="5" t="n">
        <v>25812.80745</v>
      </c>
      <c r="D19" s="4" t="inlineStr">
        <is>
          <t>exact</t>
        </is>
      </c>
      <c r="E19" s="4" t="inlineStr">
        <is>
          <t>Ω</t>
        </is>
      </c>
      <c r="F19" s="4" t="inlineStr">
        <is>
          <t>kg·m²·s⁻³·A⁻²</t>
        </is>
      </c>
      <c r="G19" s="4" t="inlineStr">
        <is>
          <t>M L² T⁻³ I⁻²</t>
        </is>
      </c>
      <c r="H19" s="4" t="inlineStr">
        <is>
          <t>Electromagnetic</t>
        </is>
      </c>
      <c r="I19" s="6" t="inlineStr">
        <is>
          <t>Y</t>
        </is>
      </c>
      <c r="J19" s="4" t="inlineStr">
        <is>
          <t>25 812.807 45</t>
        </is>
      </c>
      <c r="K19" s="4" t="inlineStr">
        <is>
          <t>R_K = h/e²; exact</t>
        </is>
      </c>
    </row>
    <row r="20" ht="16" customHeight="1">
      <c r="A20" s="7" t="inlineStr">
        <is>
          <t>μ_B</t>
        </is>
      </c>
      <c r="B20" s="8" t="inlineStr">
        <is>
          <t>Bohr magneton</t>
        </is>
      </c>
      <c r="C20" s="9" t="n">
        <v>9.2740100783e-24</v>
      </c>
      <c r="D20" s="8" t="inlineStr">
        <is>
          <t>±0.0000000028 × 10⁻²⁴</t>
        </is>
      </c>
      <c r="E20" s="8" t="inlineStr">
        <is>
          <t>J·T⁻¹</t>
        </is>
      </c>
      <c r="F20" s="8" t="inlineStr">
        <is>
          <t>A·m²</t>
        </is>
      </c>
      <c r="G20" s="8" t="inlineStr">
        <is>
          <t>I L²</t>
        </is>
      </c>
      <c r="H20" s="8" t="inlineStr">
        <is>
          <t>Electromagnetic</t>
        </is>
      </c>
      <c r="I20" s="10" t="inlineStr">
        <is>
          <t>N</t>
        </is>
      </c>
      <c r="J20" s="8" t="inlineStr">
        <is>
          <t>9.274 010 0783 × 10⁻²⁴</t>
        </is>
      </c>
      <c r="K20" s="8" t="inlineStr">
        <is>
          <t>μ_B = eħ/(2m_e); CODATA 2018</t>
        </is>
      </c>
    </row>
    <row r="21" ht="16" customHeight="1">
      <c r="A21" s="3" t="inlineStr">
        <is>
          <t>μ_N</t>
        </is>
      </c>
      <c r="B21" s="4" t="inlineStr">
        <is>
          <t>Nuclear magneton</t>
        </is>
      </c>
      <c r="C21" s="5" t="n">
        <v>5.0507837461e-27</v>
      </c>
      <c r="D21" s="4" t="inlineStr">
        <is>
          <t>±0.0000000015 × 10⁻²⁷</t>
        </is>
      </c>
      <c r="E21" s="4" t="inlineStr">
        <is>
          <t>J·T⁻¹</t>
        </is>
      </c>
      <c r="F21" s="4" t="inlineStr">
        <is>
          <t>A·m²</t>
        </is>
      </c>
      <c r="G21" s="4" t="inlineStr">
        <is>
          <t>I L²</t>
        </is>
      </c>
      <c r="H21" s="4" t="inlineStr">
        <is>
          <t>Electromagnetic</t>
        </is>
      </c>
      <c r="I21" s="6" t="inlineStr">
        <is>
          <t>N</t>
        </is>
      </c>
      <c r="J21" s="4" t="inlineStr">
        <is>
          <t>5.050 783 7461 × 10⁻²⁷</t>
        </is>
      </c>
      <c r="K21" s="4" t="inlineStr">
        <is>
          <t>μ_N = eħ/(2m_p); CODATA 2018</t>
        </is>
      </c>
    </row>
    <row r="22" ht="16" customHeight="1">
      <c r="A22" s="7" t="inlineStr">
        <is>
          <t>α</t>
        </is>
      </c>
      <c r="B22" s="8" t="inlineStr">
        <is>
          <t>Fine-structure constant</t>
        </is>
      </c>
      <c r="C22" s="9" t="n">
        <v>0.0072973525693</v>
      </c>
      <c r="D22" s="8" t="inlineStr">
        <is>
          <t>±0.0000000011 × 10⁻³</t>
        </is>
      </c>
      <c r="E22" s="8" t="inlineStr">
        <is>
          <t>dimensionless</t>
        </is>
      </c>
      <c r="F22" s="8" t="inlineStr">
        <is>
          <t>—</t>
        </is>
      </c>
      <c r="G22" s="8" t="inlineStr">
        <is>
          <t>dimensionless</t>
        </is>
      </c>
      <c r="H22" s="8" t="inlineStr">
        <is>
          <t>Electromagnetic</t>
        </is>
      </c>
      <c r="I22" s="10" t="inlineStr">
        <is>
          <t>N</t>
        </is>
      </c>
      <c r="J22" s="8" t="inlineStr">
        <is>
          <t>7.297 352 5693 × 10⁻³</t>
        </is>
      </c>
      <c r="K22" s="8" t="inlineStr">
        <is>
          <t>α = e²/(4πε₀ħc) ≈ 1/137.036; CODATA 2018</t>
        </is>
      </c>
    </row>
    <row r="23" ht="16" customHeight="1">
      <c r="A23" s="3" t="inlineStr">
        <is>
          <t>1/α</t>
        </is>
      </c>
      <c r="B23" s="4" t="inlineStr">
        <is>
          <t>Inverse fine-structure constant</t>
        </is>
      </c>
      <c r="C23" s="5" t="n">
        <v>137.035999084</v>
      </c>
      <c r="D23" s="4" t="inlineStr">
        <is>
          <t>±0.000000021</t>
        </is>
      </c>
      <c r="E23" s="4" t="inlineStr">
        <is>
          <t>dimensionless</t>
        </is>
      </c>
      <c r="F23" s="4" t="inlineStr">
        <is>
          <t>—</t>
        </is>
      </c>
      <c r="G23" s="4" t="inlineStr">
        <is>
          <t>dimensionless</t>
        </is>
      </c>
      <c r="H23" s="4" t="inlineStr">
        <is>
          <t>Electromagnetic</t>
        </is>
      </c>
      <c r="I23" s="6" t="inlineStr">
        <is>
          <t>N</t>
        </is>
      </c>
      <c r="J23" s="4" t="inlineStr">
        <is>
          <t>137.035 999 084</t>
        </is>
      </c>
      <c r="K23" s="4" t="inlineStr">
        <is>
          <t>CODATA 2018</t>
        </is>
      </c>
    </row>
    <row r="24" ht="18" customHeight="1">
      <c r="A24" s="2" t="inlineStr">
        <is>
          <t>ATOMIC &amp; NUCLEAR CONSTANTS</t>
        </is>
      </c>
    </row>
    <row r="25" ht="16" customHeight="1">
      <c r="A25" s="3" t="inlineStr">
        <is>
          <t>N_A</t>
        </is>
      </c>
      <c r="B25" s="4" t="inlineStr">
        <is>
          <t>Avogadro constant</t>
        </is>
      </c>
      <c r="C25" s="5" t="n">
        <v>6.02214076e+23</v>
      </c>
      <c r="D25" s="4" t="inlineStr">
        <is>
          <t>exact</t>
        </is>
      </c>
      <c r="E25" s="4" t="inlineStr">
        <is>
          <t>mol⁻¹</t>
        </is>
      </c>
      <c r="F25" s="4" t="inlineStr">
        <is>
          <t>mol⁻¹</t>
        </is>
      </c>
      <c r="G25" s="4" t="inlineStr">
        <is>
          <t>N⁻¹</t>
        </is>
      </c>
      <c r="H25" s="4" t="inlineStr">
        <is>
          <t>Atomic</t>
        </is>
      </c>
      <c r="I25" s="6" t="inlineStr">
        <is>
          <t>Y</t>
        </is>
      </c>
      <c r="J25" s="4" t="inlineStr">
        <is>
          <t>6.022 140 76 × 10²³</t>
        </is>
      </c>
      <c r="K25" s="4" t="inlineStr">
        <is>
          <t>Exact by SI 2019; defines mole</t>
        </is>
      </c>
    </row>
    <row r="26" ht="16" customHeight="1">
      <c r="A26" s="7" t="inlineStr">
        <is>
          <t>u</t>
        </is>
      </c>
      <c r="B26" s="8" t="inlineStr">
        <is>
          <t>Atomic mass unit (dalton)</t>
        </is>
      </c>
      <c r="C26" s="9" t="n">
        <v>1.6605390666e-27</v>
      </c>
      <c r="D26" s="8" t="inlineStr">
        <is>
          <t>±0.00000000050 × 10⁻²⁷</t>
        </is>
      </c>
      <c r="E26" s="8" t="inlineStr">
        <is>
          <t>kg</t>
        </is>
      </c>
      <c r="F26" s="8" t="inlineStr">
        <is>
          <t>kg</t>
        </is>
      </c>
      <c r="G26" s="8" t="inlineStr">
        <is>
          <t>M</t>
        </is>
      </c>
      <c r="H26" s="8" t="inlineStr">
        <is>
          <t>Atomic</t>
        </is>
      </c>
      <c r="I26" s="10" t="inlineStr">
        <is>
          <t>N</t>
        </is>
      </c>
      <c r="J26" s="8" t="inlineStr">
        <is>
          <t>1.660 539 066 60 × 10⁻²⁷</t>
        </is>
      </c>
      <c r="K26" s="8" t="inlineStr">
        <is>
          <t>1 u = m(¹²C)/12; CODATA 2018</t>
        </is>
      </c>
    </row>
    <row r="27" ht="16" customHeight="1">
      <c r="A27" s="3" t="inlineStr">
        <is>
          <t>m_e</t>
        </is>
      </c>
      <c r="B27" s="4" t="inlineStr">
        <is>
          <t>Electron rest mass</t>
        </is>
      </c>
      <c r="C27" s="5" t="n">
        <v>9.109383701500001e-31</v>
      </c>
      <c r="D27" s="4" t="inlineStr">
        <is>
          <t>±0.0000000028 × 10⁻³¹</t>
        </is>
      </c>
      <c r="E27" s="4" t="inlineStr">
        <is>
          <t>kg</t>
        </is>
      </c>
      <c r="F27" s="4" t="inlineStr">
        <is>
          <t>kg</t>
        </is>
      </c>
      <c r="G27" s="4" t="inlineStr">
        <is>
          <t>M</t>
        </is>
      </c>
      <c r="H27" s="4" t="inlineStr">
        <is>
          <t>Atomic</t>
        </is>
      </c>
      <c r="I27" s="6" t="inlineStr">
        <is>
          <t>N</t>
        </is>
      </c>
      <c r="J27" s="4" t="inlineStr">
        <is>
          <t>9.109 383 7015 × 10⁻³¹</t>
        </is>
      </c>
      <c r="K27" s="4" t="inlineStr">
        <is>
          <t>CODATA 2018; 0.510 999 MeV/c²</t>
        </is>
      </c>
    </row>
    <row r="28" ht="16" customHeight="1">
      <c r="A28" s="7" t="inlineStr">
        <is>
          <t>m_p</t>
        </is>
      </c>
      <c r="B28" s="8" t="inlineStr">
        <is>
          <t>Proton rest mass</t>
        </is>
      </c>
      <c r="C28" s="9" t="n">
        <v>1.67262192369e-27</v>
      </c>
      <c r="D28" s="8" t="inlineStr">
        <is>
          <t>±0.00000000051 × 10⁻²⁷</t>
        </is>
      </c>
      <c r="E28" s="8" t="inlineStr">
        <is>
          <t>kg</t>
        </is>
      </c>
      <c r="F28" s="8" t="inlineStr">
        <is>
          <t>kg</t>
        </is>
      </c>
      <c r="G28" s="8" t="inlineStr">
        <is>
          <t>M</t>
        </is>
      </c>
      <c r="H28" s="8" t="inlineStr">
        <is>
          <t>Atomic</t>
        </is>
      </c>
      <c r="I28" s="10" t="inlineStr">
        <is>
          <t>N</t>
        </is>
      </c>
      <c r="J28" s="8" t="inlineStr">
        <is>
          <t>1.672 621 923 69 × 10⁻²⁷</t>
        </is>
      </c>
      <c r="K28" s="8" t="inlineStr">
        <is>
          <t>CODATA 2018; 938.272 MeV/c²</t>
        </is>
      </c>
    </row>
    <row r="29" ht="16" customHeight="1">
      <c r="A29" s="3" t="inlineStr">
        <is>
          <t>m_n</t>
        </is>
      </c>
      <c r="B29" s="4" t="inlineStr">
        <is>
          <t>Neutron rest mass</t>
        </is>
      </c>
      <c r="C29" s="5" t="n">
        <v>1.67492749804e-27</v>
      </c>
      <c r="D29" s="4" t="inlineStr">
        <is>
          <t>±0.00000000095 × 10⁻²⁷</t>
        </is>
      </c>
      <c r="E29" s="4" t="inlineStr">
        <is>
          <t>kg</t>
        </is>
      </c>
      <c r="F29" s="4" t="inlineStr">
        <is>
          <t>kg</t>
        </is>
      </c>
      <c r="G29" s="4" t="inlineStr">
        <is>
          <t>M</t>
        </is>
      </c>
      <c r="H29" s="4" t="inlineStr">
        <is>
          <t>Atomic</t>
        </is>
      </c>
      <c r="I29" s="6" t="inlineStr">
        <is>
          <t>N</t>
        </is>
      </c>
      <c r="J29" s="4" t="inlineStr">
        <is>
          <t>1.674 927 498 04 × 10⁻²⁷</t>
        </is>
      </c>
      <c r="K29" s="4" t="inlineStr">
        <is>
          <t>CODATA 2018; 939.565 MeV/c²</t>
        </is>
      </c>
    </row>
    <row r="30" ht="16" customHeight="1">
      <c r="A30" s="7" t="inlineStr">
        <is>
          <t>m_d</t>
        </is>
      </c>
      <c r="B30" s="8" t="inlineStr">
        <is>
          <t>Deuteron mass</t>
        </is>
      </c>
      <c r="C30" s="9" t="n">
        <v>3.3435837724e-27</v>
      </c>
      <c r="D30" s="8" t="inlineStr">
        <is>
          <t>±0.0000000010 × 10⁻²⁷</t>
        </is>
      </c>
      <c r="E30" s="8" t="inlineStr">
        <is>
          <t>kg</t>
        </is>
      </c>
      <c r="F30" s="8" t="inlineStr">
        <is>
          <t>kg</t>
        </is>
      </c>
      <c r="G30" s="8" t="inlineStr">
        <is>
          <t>M</t>
        </is>
      </c>
      <c r="H30" s="8" t="inlineStr">
        <is>
          <t>Atomic</t>
        </is>
      </c>
      <c r="I30" s="10" t="inlineStr">
        <is>
          <t>N</t>
        </is>
      </c>
      <c r="J30" s="8" t="inlineStr">
        <is>
          <t>3.343 583 7724 × 10⁻²⁷</t>
        </is>
      </c>
      <c r="K30" s="8" t="inlineStr">
        <is>
          <t>CODATA 2018</t>
        </is>
      </c>
    </row>
    <row r="31" ht="16" customHeight="1">
      <c r="A31" s="3" t="inlineStr">
        <is>
          <t>m_α</t>
        </is>
      </c>
      <c r="B31" s="4" t="inlineStr">
        <is>
          <t>Alpha particle mass</t>
        </is>
      </c>
      <c r="C31" s="5" t="n">
        <v>6.6446573357e-27</v>
      </c>
      <c r="D31" s="4" t="inlineStr">
        <is>
          <t>±0.0000000020 × 10⁻²⁷</t>
        </is>
      </c>
      <c r="E31" s="4" t="inlineStr">
        <is>
          <t>kg</t>
        </is>
      </c>
      <c r="F31" s="4" t="inlineStr">
        <is>
          <t>kg</t>
        </is>
      </c>
      <c r="G31" s="4" t="inlineStr">
        <is>
          <t>M</t>
        </is>
      </c>
      <c r="H31" s="4" t="inlineStr">
        <is>
          <t>Atomic</t>
        </is>
      </c>
      <c r="I31" s="6" t="inlineStr">
        <is>
          <t>N</t>
        </is>
      </c>
      <c r="J31" s="4" t="inlineStr">
        <is>
          <t>6.644 657 3357 × 10⁻²⁷</t>
        </is>
      </c>
      <c r="K31" s="4" t="inlineStr">
        <is>
          <t>CODATA 2018</t>
        </is>
      </c>
    </row>
    <row r="32" ht="16" customHeight="1">
      <c r="A32" s="7" t="inlineStr">
        <is>
          <t>a₀</t>
        </is>
      </c>
      <c r="B32" s="8" t="inlineStr">
        <is>
          <t>Bohr radius</t>
        </is>
      </c>
      <c r="C32" s="9" t="n">
        <v>5.29177210903e-11</v>
      </c>
      <c r="D32" s="8" t="inlineStr">
        <is>
          <t>±0.00000000080 × 10⁻¹¹</t>
        </is>
      </c>
      <c r="E32" s="8" t="inlineStr">
        <is>
          <t>m</t>
        </is>
      </c>
      <c r="F32" s="8" t="inlineStr">
        <is>
          <t>m</t>
        </is>
      </c>
      <c r="G32" s="8" t="inlineStr">
        <is>
          <t>L</t>
        </is>
      </c>
      <c r="H32" s="8" t="inlineStr">
        <is>
          <t>Atomic</t>
        </is>
      </c>
      <c r="I32" s="10" t="inlineStr">
        <is>
          <t>N</t>
        </is>
      </c>
      <c r="J32" s="8" t="inlineStr">
        <is>
          <t>5.291 772 109 03 × 10⁻¹¹</t>
        </is>
      </c>
      <c r="K32" s="8" t="inlineStr">
        <is>
          <t>a₀ = ħ/(m_e c α); CODATA 2018</t>
        </is>
      </c>
    </row>
    <row r="33" ht="16" customHeight="1">
      <c r="A33" s="3" t="inlineStr">
        <is>
          <t>E_h</t>
        </is>
      </c>
      <c r="B33" s="4" t="inlineStr">
        <is>
          <t>Hartree energy</t>
        </is>
      </c>
      <c r="C33" s="5" t="n">
        <v>4.3597447222071e-18</v>
      </c>
      <c r="D33" s="4" t="inlineStr">
        <is>
          <t>±0.0000000000085 × 10⁻¹⁸</t>
        </is>
      </c>
      <c r="E33" s="4" t="inlineStr">
        <is>
          <t>J</t>
        </is>
      </c>
      <c r="F33" s="4" t="inlineStr">
        <is>
          <t>kg·m²·s⁻²</t>
        </is>
      </c>
      <c r="G33" s="4" t="inlineStr">
        <is>
          <t>M L² T⁻²</t>
        </is>
      </c>
      <c r="H33" s="4" t="inlineStr">
        <is>
          <t>Atomic</t>
        </is>
      </c>
      <c r="I33" s="6" t="inlineStr">
        <is>
          <t>N</t>
        </is>
      </c>
      <c r="J33" s="4" t="inlineStr">
        <is>
          <t>4.359 744 722 2071 × 10⁻¹⁸</t>
        </is>
      </c>
      <c r="K33" s="4" t="inlineStr">
        <is>
          <t>E_h = m_e(cα)²; CODATA 2018; = 27.211 eV</t>
        </is>
      </c>
    </row>
    <row r="34" ht="16" customHeight="1">
      <c r="A34" s="7" t="inlineStr">
        <is>
          <t>r_e</t>
        </is>
      </c>
      <c r="B34" s="8" t="inlineStr">
        <is>
          <t>Classical electron radius</t>
        </is>
      </c>
      <c r="C34" s="9" t="n">
        <v>2.8179403227e-15</v>
      </c>
      <c r="D34" s="8" t="inlineStr">
        <is>
          <t>±0.0000000019 × 10⁻¹⁵</t>
        </is>
      </c>
      <c r="E34" s="8" t="inlineStr">
        <is>
          <t>m</t>
        </is>
      </c>
      <c r="F34" s="8" t="inlineStr">
        <is>
          <t>m</t>
        </is>
      </c>
      <c r="G34" s="8" t="inlineStr">
        <is>
          <t>L</t>
        </is>
      </c>
      <c r="H34" s="8" t="inlineStr">
        <is>
          <t>Atomic</t>
        </is>
      </c>
      <c r="I34" s="10" t="inlineStr">
        <is>
          <t>N</t>
        </is>
      </c>
      <c r="J34" s="8" t="inlineStr">
        <is>
          <t>2.817 940 3227 × 10⁻¹⁵</t>
        </is>
      </c>
      <c r="K34" s="8" t="inlineStr">
        <is>
          <t>r_e = α²a₀ = e²/(4πε₀m_ec²); CODATA 2018</t>
        </is>
      </c>
    </row>
    <row r="35" ht="16" customHeight="1">
      <c r="A35" s="3" t="inlineStr">
        <is>
          <t>λ_C</t>
        </is>
      </c>
      <c r="B35" s="4" t="inlineStr">
        <is>
          <t>Compton wavelength</t>
        </is>
      </c>
      <c r="C35" s="5" t="n">
        <v>2.42631023867e-12</v>
      </c>
      <c r="D35" s="4" t="inlineStr">
        <is>
          <t>±0.00000000073 × 10⁻¹²</t>
        </is>
      </c>
      <c r="E35" s="4" t="inlineStr">
        <is>
          <t>m</t>
        </is>
      </c>
      <c r="F35" s="4" t="inlineStr">
        <is>
          <t>m</t>
        </is>
      </c>
      <c r="G35" s="4" t="inlineStr">
        <is>
          <t>L</t>
        </is>
      </c>
      <c r="H35" s="4" t="inlineStr">
        <is>
          <t>Atomic</t>
        </is>
      </c>
      <c r="I35" s="6" t="inlineStr">
        <is>
          <t>N</t>
        </is>
      </c>
      <c r="J35" s="4" t="inlineStr">
        <is>
          <t>2.426 310 238 67 × 10⁻¹²</t>
        </is>
      </c>
      <c r="K35" s="4" t="inlineStr">
        <is>
          <t>λ_C = h/(m_ec); CODATA 2018</t>
        </is>
      </c>
    </row>
    <row r="36" ht="16" customHeight="1">
      <c r="A36" s="7" t="inlineStr">
        <is>
          <t>R_∞</t>
        </is>
      </c>
      <c r="B36" s="8" t="inlineStr">
        <is>
          <t>Rydberg constant</t>
        </is>
      </c>
      <c r="C36" s="9" t="n">
        <v>10973731.56816</v>
      </c>
      <c r="D36" s="8" t="inlineStr">
        <is>
          <t>±0.000021</t>
        </is>
      </c>
      <c r="E36" s="8" t="inlineStr">
        <is>
          <t>m⁻¹</t>
        </is>
      </c>
      <c r="F36" s="8" t="inlineStr">
        <is>
          <t>m⁻¹</t>
        </is>
      </c>
      <c r="G36" s="8" t="inlineStr">
        <is>
          <t>L⁻¹</t>
        </is>
      </c>
      <c r="H36" s="8" t="inlineStr">
        <is>
          <t>Atomic</t>
        </is>
      </c>
      <c r="I36" s="10" t="inlineStr">
        <is>
          <t>N</t>
        </is>
      </c>
      <c r="J36" s="8" t="inlineStr">
        <is>
          <t>10 973 731.568 160</t>
        </is>
      </c>
      <c r="K36" s="8" t="inlineStr">
        <is>
          <t>R_∞ = m_ecα²/(2h); CODATA 2018</t>
        </is>
      </c>
    </row>
    <row r="37" ht="16" customHeight="1">
      <c r="A37" s="3" t="inlineStr">
        <is>
          <t>g_e</t>
        </is>
      </c>
      <c r="B37" s="4" t="inlineStr">
        <is>
          <t>Electron g-factor</t>
        </is>
      </c>
      <c r="C37" s="5" t="n">
        <v>-2.00231930436256</v>
      </c>
      <c r="D37" s="4" t="inlineStr">
        <is>
          <t>±0.00000000000035</t>
        </is>
      </c>
      <c r="E37" s="4" t="inlineStr">
        <is>
          <t>dimensionless</t>
        </is>
      </c>
      <c r="F37" s="4" t="inlineStr">
        <is>
          <t>—</t>
        </is>
      </c>
      <c r="G37" s="4" t="inlineStr">
        <is>
          <t>dimensionless</t>
        </is>
      </c>
      <c r="H37" s="4" t="inlineStr">
        <is>
          <t>Atomic</t>
        </is>
      </c>
      <c r="I37" s="6" t="inlineStr">
        <is>
          <t>N</t>
        </is>
      </c>
      <c r="J37" s="4" t="inlineStr">
        <is>
          <t>−2.002 319 304 362 56</t>
        </is>
      </c>
      <c r="K37" s="4" t="inlineStr">
        <is>
          <t>CODATA 2018; anomalous magnetic moment included</t>
        </is>
      </c>
    </row>
    <row r="38" ht="16" customHeight="1">
      <c r="A38" s="7" t="inlineStr">
        <is>
          <t>g_p</t>
        </is>
      </c>
      <c r="B38" s="8" t="inlineStr">
        <is>
          <t>Proton g-factor</t>
        </is>
      </c>
      <c r="C38" s="9" t="n">
        <v>5.5856946893</v>
      </c>
      <c r="D38" s="8" t="inlineStr">
        <is>
          <t>±0.0000000016</t>
        </is>
      </c>
      <c r="E38" s="8" t="inlineStr">
        <is>
          <t>dimensionless</t>
        </is>
      </c>
      <c r="F38" s="8" t="inlineStr">
        <is>
          <t>—</t>
        </is>
      </c>
      <c r="G38" s="8" t="inlineStr">
        <is>
          <t>dimensionless</t>
        </is>
      </c>
      <c r="H38" s="8" t="inlineStr">
        <is>
          <t>Atomic</t>
        </is>
      </c>
      <c r="I38" s="10" t="inlineStr">
        <is>
          <t>N</t>
        </is>
      </c>
      <c r="J38" s="8" t="inlineStr">
        <is>
          <t>5.585 694 6893</t>
        </is>
      </c>
      <c r="K38" s="8" t="inlineStr">
        <is>
          <t>CODATA 2018</t>
        </is>
      </c>
    </row>
    <row r="39" ht="16" customHeight="1">
      <c r="A39" s="3" t="inlineStr">
        <is>
          <t>t_P</t>
        </is>
      </c>
      <c r="B39" s="4" t="inlineStr">
        <is>
          <t>Planck time</t>
        </is>
      </c>
      <c r="C39" s="5" t="n">
        <v>5.391247e-44</v>
      </c>
      <c r="D39" s="4" t="inlineStr">
        <is>
          <t>±0.000060 × 10⁻⁴⁴</t>
        </is>
      </c>
      <c r="E39" s="4" t="inlineStr">
        <is>
          <t>s</t>
        </is>
      </c>
      <c r="F39" s="4" t="inlineStr">
        <is>
          <t>s</t>
        </is>
      </c>
      <c r="G39" s="4" t="inlineStr">
        <is>
          <t>T</t>
        </is>
      </c>
      <c r="H39" s="4" t="inlineStr">
        <is>
          <t>Atomic</t>
        </is>
      </c>
      <c r="I39" s="6" t="inlineStr">
        <is>
          <t>N</t>
        </is>
      </c>
      <c r="J39" s="4" t="inlineStr">
        <is>
          <t>5.391 247 × 10⁻⁴⁴</t>
        </is>
      </c>
      <c r="K39" s="4" t="inlineStr">
        <is>
          <t>t_P = √(ħG/c⁵); CODATA 2018</t>
        </is>
      </c>
    </row>
    <row r="40" ht="16" customHeight="1">
      <c r="A40" s="7" t="inlineStr">
        <is>
          <t>l_P</t>
        </is>
      </c>
      <c r="B40" s="8" t="inlineStr">
        <is>
          <t>Planck length</t>
        </is>
      </c>
      <c r="C40" s="9" t="n">
        <v>1.616255e-35</v>
      </c>
      <c r="D40" s="8" t="inlineStr">
        <is>
          <t>±0.000018 × 10⁻³⁵</t>
        </is>
      </c>
      <c r="E40" s="8" t="inlineStr">
        <is>
          <t>m</t>
        </is>
      </c>
      <c r="F40" s="8" t="inlineStr">
        <is>
          <t>m</t>
        </is>
      </c>
      <c r="G40" s="8" t="inlineStr">
        <is>
          <t>L</t>
        </is>
      </c>
      <c r="H40" s="8" t="inlineStr">
        <is>
          <t>Atomic</t>
        </is>
      </c>
      <c r="I40" s="10" t="inlineStr">
        <is>
          <t>N</t>
        </is>
      </c>
      <c r="J40" s="8" t="inlineStr">
        <is>
          <t>1.616 255 × 10⁻³⁵</t>
        </is>
      </c>
      <c r="K40" s="8" t="inlineStr">
        <is>
          <t>l_P = √(ħG/c³); CODATA 2018</t>
        </is>
      </c>
    </row>
    <row r="41" ht="16" customHeight="1">
      <c r="A41" s="3" t="inlineStr">
        <is>
          <t>m_P</t>
        </is>
      </c>
      <c r="B41" s="4" t="inlineStr">
        <is>
          <t>Planck mass</t>
        </is>
      </c>
      <c r="C41" s="5" t="n">
        <v>2.176434e-08</v>
      </c>
      <c r="D41" s="4" t="inlineStr">
        <is>
          <t>±0.000024 × 10⁻⁸</t>
        </is>
      </c>
      <c r="E41" s="4" t="inlineStr">
        <is>
          <t>kg</t>
        </is>
      </c>
      <c r="F41" s="4" t="inlineStr">
        <is>
          <t>kg</t>
        </is>
      </c>
      <c r="G41" s="4" t="inlineStr">
        <is>
          <t>M</t>
        </is>
      </c>
      <c r="H41" s="4" t="inlineStr">
        <is>
          <t>Atomic</t>
        </is>
      </c>
      <c r="I41" s="6" t="inlineStr">
        <is>
          <t>N</t>
        </is>
      </c>
      <c r="J41" s="4" t="inlineStr">
        <is>
          <t>2.176 434 × 10⁻⁸</t>
        </is>
      </c>
      <c r="K41" s="4" t="inlineStr">
        <is>
          <t>m_P = √(ħc/G); CODATA 2018; = 21.76 μg</t>
        </is>
      </c>
    </row>
    <row r="42" ht="16" customHeight="1">
      <c r="A42" s="7" t="inlineStr">
        <is>
          <t>T_P</t>
        </is>
      </c>
      <c r="B42" s="8" t="inlineStr">
        <is>
          <t>Planck temperature</t>
        </is>
      </c>
      <c r="C42" s="9" t="n">
        <v>1.416784e+32</v>
      </c>
      <c r="D42" s="8" t="inlineStr">
        <is>
          <t>±0.000016 × 10³²</t>
        </is>
      </c>
      <c r="E42" s="8" t="inlineStr">
        <is>
          <t>K</t>
        </is>
      </c>
      <c r="F42" s="8" t="inlineStr">
        <is>
          <t>K</t>
        </is>
      </c>
      <c r="G42" s="8" t="inlineStr">
        <is>
          <t>Th</t>
        </is>
      </c>
      <c r="H42" s="8" t="inlineStr">
        <is>
          <t>Atomic</t>
        </is>
      </c>
      <c r="I42" s="10" t="inlineStr">
        <is>
          <t>N</t>
        </is>
      </c>
      <c r="J42" s="8" t="inlineStr">
        <is>
          <t>1.416 784 × 10³²</t>
        </is>
      </c>
      <c r="K42" s="8" t="inlineStr">
        <is>
          <t>T_P = m_Pc²/k_B; CODATA 2018</t>
        </is>
      </c>
    </row>
    <row r="43" ht="16" customHeight="1">
      <c r="A43" s="3" t="inlineStr">
        <is>
          <t>σ_T</t>
        </is>
      </c>
      <c r="B43" s="4" t="inlineStr">
        <is>
          <t>Thomson cross section</t>
        </is>
      </c>
      <c r="C43" s="5" t="n">
        <v>6.6524587321e-29</v>
      </c>
      <c r="D43" s="4" t="inlineStr">
        <is>
          <t>±0.0000000060 × 10⁻²⁹</t>
        </is>
      </c>
      <c r="E43" s="4" t="inlineStr">
        <is>
          <t>m²</t>
        </is>
      </c>
      <c r="F43" s="4" t="inlineStr">
        <is>
          <t>m²</t>
        </is>
      </c>
      <c r="G43" s="4" t="inlineStr">
        <is>
          <t>L²</t>
        </is>
      </c>
      <c r="H43" s="4" t="inlineStr">
        <is>
          <t>Atomic</t>
        </is>
      </c>
      <c r="I43" s="6" t="inlineStr">
        <is>
          <t>N</t>
        </is>
      </c>
      <c r="J43" s="4" t="inlineStr">
        <is>
          <t>6.652 458 7321 × 10⁻²⁹</t>
        </is>
      </c>
      <c r="K43" s="4" t="inlineStr">
        <is>
          <t>σ_T = (8π/3)r_e²; CODATA 2018</t>
        </is>
      </c>
    </row>
    <row r="44" ht="18" customHeight="1">
      <c r="A44" s="2" t="inlineStr">
        <is>
          <t>THERMODYNAMIC CONSTANTS</t>
        </is>
      </c>
    </row>
    <row r="45" ht="16" customHeight="1">
      <c r="A45" s="3" t="inlineStr">
        <is>
          <t>k_B</t>
        </is>
      </c>
      <c r="B45" s="4" t="inlineStr">
        <is>
          <t>Boltzmann constant</t>
        </is>
      </c>
      <c r="C45" s="5" t="n">
        <v>1.380649e-23</v>
      </c>
      <c r="D45" s="4" t="inlineStr">
        <is>
          <t>exact</t>
        </is>
      </c>
      <c r="E45" s="4" t="inlineStr">
        <is>
          <t>J·K⁻¹</t>
        </is>
      </c>
      <c r="F45" s="4" t="inlineStr">
        <is>
          <t>kg·m²·s⁻²·K⁻¹</t>
        </is>
      </c>
      <c r="G45" s="4" t="inlineStr">
        <is>
          <t>M L² T⁻² Th⁻¹</t>
        </is>
      </c>
      <c r="H45" s="4" t="inlineStr">
        <is>
          <t>Thermodynamic</t>
        </is>
      </c>
      <c r="I45" s="6" t="inlineStr">
        <is>
          <t>Y</t>
        </is>
      </c>
      <c r="J45" s="4" t="inlineStr">
        <is>
          <t>1.380 649 × 10⁻²³</t>
        </is>
      </c>
      <c r="K45" s="4" t="inlineStr">
        <is>
          <t>Exact by SI 2019; defines kelvin</t>
        </is>
      </c>
    </row>
    <row r="46" ht="16" customHeight="1">
      <c r="A46" s="7" t="inlineStr">
        <is>
          <t>R</t>
        </is>
      </c>
      <c r="B46" s="8" t="inlineStr">
        <is>
          <t>Molar gas constant</t>
        </is>
      </c>
      <c r="C46" s="9" t="n">
        <v>8.314462618</v>
      </c>
      <c r="D46" s="8" t="inlineStr">
        <is>
          <t>exact</t>
        </is>
      </c>
      <c r="E46" s="8" t="inlineStr">
        <is>
          <t>J·mol⁻¹·K⁻¹</t>
        </is>
      </c>
      <c r="F46" s="8" t="inlineStr">
        <is>
          <t>kg·m²·s⁻²·mol⁻¹·K⁻¹</t>
        </is>
      </c>
      <c r="G46" s="8" t="inlineStr">
        <is>
          <t>M L² T⁻² N⁻¹ Th⁻¹</t>
        </is>
      </c>
      <c r="H46" s="8" t="inlineStr">
        <is>
          <t>Thermodynamic</t>
        </is>
      </c>
      <c r="I46" s="10" t="inlineStr">
        <is>
          <t>Y</t>
        </is>
      </c>
      <c r="J46" s="8" t="inlineStr">
        <is>
          <t>8.314 462 618</t>
        </is>
      </c>
      <c r="K46" s="8" t="inlineStr">
        <is>
          <t>R = N_A·k_B; exact post-2019; universal gas constant</t>
        </is>
      </c>
    </row>
    <row r="47" ht="16" customHeight="1">
      <c r="A47" s="3" t="inlineStr">
        <is>
          <t>F</t>
        </is>
      </c>
      <c r="B47" s="4" t="inlineStr">
        <is>
          <t>Faraday constant</t>
        </is>
      </c>
      <c r="C47" s="5" t="n">
        <v>96485.33212000001</v>
      </c>
      <c r="D47" s="4" t="inlineStr">
        <is>
          <t>exact</t>
        </is>
      </c>
      <c r="E47" s="4" t="inlineStr">
        <is>
          <t>C·mol⁻¹</t>
        </is>
      </c>
      <c r="F47" s="4" t="inlineStr">
        <is>
          <t>A·s·mol⁻¹</t>
        </is>
      </c>
      <c r="G47" s="4" t="inlineStr">
        <is>
          <t>T I N⁻¹</t>
        </is>
      </c>
      <c r="H47" s="4" t="inlineStr">
        <is>
          <t>Thermodynamic</t>
        </is>
      </c>
      <c r="I47" s="6" t="inlineStr">
        <is>
          <t>Y</t>
        </is>
      </c>
      <c r="J47" s="4" t="inlineStr">
        <is>
          <t>96 485.332 12</t>
        </is>
      </c>
      <c r="K47" s="4" t="inlineStr">
        <is>
          <t>F = N_A·e; exact post-2019</t>
        </is>
      </c>
    </row>
    <row r="48" ht="16" customHeight="1">
      <c r="A48" s="7" t="inlineStr">
        <is>
          <t>V_m</t>
        </is>
      </c>
      <c r="B48" s="8" t="inlineStr">
        <is>
          <t>Molar volume of ideal gas (STP: 0°C, 101.325 kPa)</t>
        </is>
      </c>
      <c r="C48" s="9" t="n">
        <v>0.022413969545</v>
      </c>
      <c r="D48" s="8" t="inlineStr">
        <is>
          <t>exact</t>
        </is>
      </c>
      <c r="E48" s="8" t="inlineStr">
        <is>
          <t>m³·mol⁻¹</t>
        </is>
      </c>
      <c r="F48" s="8" t="inlineStr">
        <is>
          <t>m³·mol⁻¹</t>
        </is>
      </c>
      <c r="G48" s="8" t="inlineStr">
        <is>
          <t>L³ N⁻¹</t>
        </is>
      </c>
      <c r="H48" s="8" t="inlineStr">
        <is>
          <t>Thermodynamic</t>
        </is>
      </c>
      <c r="I48" s="10" t="inlineStr">
        <is>
          <t>Y</t>
        </is>
      </c>
      <c r="J48" s="8" t="inlineStr">
        <is>
          <t>0.022 413 969 545</t>
        </is>
      </c>
      <c r="K48" s="8" t="inlineStr">
        <is>
          <t>V_m = RT/p at STP; exact</t>
        </is>
      </c>
    </row>
    <row r="49" ht="16" customHeight="1">
      <c r="A49" s="3" t="inlineStr">
        <is>
          <t>V_m_STP</t>
        </is>
      </c>
      <c r="B49" s="4" t="inlineStr">
        <is>
          <t>Molar volume of ideal gas (IUPAC STP: 0°C, 100 kPa)</t>
        </is>
      </c>
      <c r="C49" s="5" t="n">
        <v>0.02271095464</v>
      </c>
      <c r="D49" s="4" t="inlineStr">
        <is>
          <t>exact</t>
        </is>
      </c>
      <c r="E49" s="4" t="inlineStr">
        <is>
          <t>m³·mol⁻¹</t>
        </is>
      </c>
      <c r="F49" s="4" t="inlineStr">
        <is>
          <t>m³·mol⁻¹</t>
        </is>
      </c>
      <c r="G49" s="4" t="inlineStr">
        <is>
          <t>L³ N⁻¹</t>
        </is>
      </c>
      <c r="H49" s="4" t="inlineStr">
        <is>
          <t>Thermodynamic</t>
        </is>
      </c>
      <c r="I49" s="6" t="inlineStr">
        <is>
          <t>Y</t>
        </is>
      </c>
      <c r="J49" s="4" t="inlineStr">
        <is>
          <t>0.022 710 954 64</t>
        </is>
      </c>
      <c r="K49" s="4" t="inlineStr">
        <is>
          <t>IUPAC definition (100 kPa, 0°C); note: 22.711 L/mol</t>
        </is>
      </c>
    </row>
    <row r="50" ht="16" customHeight="1">
      <c r="A50" s="7" t="inlineStr">
        <is>
          <t>V_m_NTP</t>
        </is>
      </c>
      <c r="B50" s="8" t="inlineStr">
        <is>
          <t>Molar volume of ideal gas (NTP: 20°C, 101.325 kPa)</t>
        </is>
      </c>
      <c r="C50" s="9" t="n">
        <v>0.024055</v>
      </c>
      <c r="D50" s="8" t="inlineStr">
        <is>
          <t>derived</t>
        </is>
      </c>
      <c r="E50" s="8" t="inlineStr">
        <is>
          <t>m³·mol⁻¹</t>
        </is>
      </c>
      <c r="F50" s="8" t="inlineStr">
        <is>
          <t>m³·mol⁻¹</t>
        </is>
      </c>
      <c r="G50" s="8" t="inlineStr">
        <is>
          <t>L³ N⁻¹</t>
        </is>
      </c>
      <c r="H50" s="8" t="inlineStr">
        <is>
          <t>Thermodynamic</t>
        </is>
      </c>
      <c r="I50" s="10" t="inlineStr">
        <is>
          <t>N</t>
        </is>
      </c>
      <c r="J50" s="8" t="inlineStr">
        <is>
          <t>0.024 055</t>
        </is>
      </c>
      <c r="K50" s="8" t="inlineStr">
        <is>
          <t>NTP (Normal Temperature &amp; Pressure); engineering standard</t>
        </is>
      </c>
    </row>
    <row r="51" ht="16" customHeight="1">
      <c r="A51" s="3" t="inlineStr">
        <is>
          <t>T_STP</t>
        </is>
      </c>
      <c r="B51" s="4" t="inlineStr">
        <is>
          <t>Standard temperature (STP/NTP)</t>
        </is>
      </c>
      <c r="C51" s="5" t="n">
        <v>273.15</v>
      </c>
      <c r="D51" s="4" t="inlineStr">
        <is>
          <t>exact</t>
        </is>
      </c>
      <c r="E51" s="4" t="inlineStr">
        <is>
          <t>K</t>
        </is>
      </c>
      <c r="F51" s="4" t="inlineStr">
        <is>
          <t>K</t>
        </is>
      </c>
      <c r="G51" s="4" t="inlineStr">
        <is>
          <t>Th</t>
        </is>
      </c>
      <c r="H51" s="4" t="inlineStr">
        <is>
          <t>Thermodynamic</t>
        </is>
      </c>
      <c r="I51" s="6" t="inlineStr">
        <is>
          <t>Y</t>
        </is>
      </c>
      <c r="J51" s="4" t="inlineStr">
        <is>
          <t>273.15</t>
        </is>
      </c>
      <c r="K51" s="4" t="inlineStr">
        <is>
          <t>0°C = 273.15 K; exact by definition</t>
        </is>
      </c>
    </row>
    <row r="52" ht="16" customHeight="1">
      <c r="A52" s="7" t="inlineStr">
        <is>
          <t>p_STP</t>
        </is>
      </c>
      <c r="B52" s="8" t="inlineStr">
        <is>
          <t>Standard pressure (STP)</t>
        </is>
      </c>
      <c r="C52" s="9" t="n">
        <v>101325</v>
      </c>
      <c r="D52" s="8" t="inlineStr">
        <is>
          <t>exact</t>
        </is>
      </c>
      <c r="E52" s="8" t="inlineStr">
        <is>
          <t>Pa</t>
        </is>
      </c>
      <c r="F52" s="8" t="inlineStr">
        <is>
          <t>kg·m⁻¹·s⁻²</t>
        </is>
      </c>
      <c r="G52" s="8" t="inlineStr">
        <is>
          <t>M L⁻¹ T⁻²</t>
        </is>
      </c>
      <c r="H52" s="8" t="inlineStr">
        <is>
          <t>Thermodynamic</t>
        </is>
      </c>
      <c r="I52" s="10" t="inlineStr">
        <is>
          <t>Y</t>
        </is>
      </c>
      <c r="J52" s="8" t="inlineStr">
        <is>
          <t>101 325</t>
        </is>
      </c>
      <c r="K52" s="8" t="inlineStr">
        <is>
          <t>1 atm; exact by definition</t>
        </is>
      </c>
    </row>
    <row r="53" ht="16" customHeight="1">
      <c r="A53" s="3" t="inlineStr">
        <is>
          <t>p_IUPAC</t>
        </is>
      </c>
      <c r="B53" s="4" t="inlineStr">
        <is>
          <t>IUPAC standard pressure</t>
        </is>
      </c>
      <c r="C53" s="5" t="n">
        <v>100000</v>
      </c>
      <c r="D53" s="4" t="inlineStr">
        <is>
          <t>exact</t>
        </is>
      </c>
      <c r="E53" s="4" t="inlineStr">
        <is>
          <t>Pa</t>
        </is>
      </c>
      <c r="F53" s="4" t="inlineStr">
        <is>
          <t>kg·m⁻¹·s⁻²</t>
        </is>
      </c>
      <c r="G53" s="4" t="inlineStr">
        <is>
          <t>M L⁻¹ T⁻²</t>
        </is>
      </c>
      <c r="H53" s="4" t="inlineStr">
        <is>
          <t>Thermodynamic</t>
        </is>
      </c>
      <c r="I53" s="6" t="inlineStr">
        <is>
          <t>Y</t>
        </is>
      </c>
      <c r="J53" s="4" t="inlineStr">
        <is>
          <t>100 000</t>
        </is>
      </c>
      <c r="K53" s="4" t="inlineStr">
        <is>
          <t>IUPAC 1982 standard; 100 kPa exactly</t>
        </is>
      </c>
    </row>
    <row r="54" ht="16" customHeight="1">
      <c r="A54" s="7" t="inlineStr">
        <is>
          <t>Cp_air</t>
        </is>
      </c>
      <c r="B54" s="8" t="inlineStr">
        <is>
          <t>Specific heat capacity of air at const. pressure (~25°C)</t>
        </is>
      </c>
      <c r="C54" s="9" t="n">
        <v>1005</v>
      </c>
      <c r="D54" s="8" t="inlineStr">
        <is>
          <t>approx.</t>
        </is>
      </c>
      <c r="E54" s="8" t="inlineStr">
        <is>
          <t>J·kg⁻¹·K⁻¹</t>
        </is>
      </c>
      <c r="F54" s="8" t="inlineStr">
        <is>
          <t>m²·s⁻²·K⁻¹</t>
        </is>
      </c>
      <c r="G54" s="8" t="inlineStr">
        <is>
          <t>L² T⁻² Th⁻¹</t>
        </is>
      </c>
      <c r="H54" s="8" t="inlineStr">
        <is>
          <t>Thermodynamic</t>
        </is>
      </c>
      <c r="I54" s="10" t="inlineStr">
        <is>
          <t>N</t>
        </is>
      </c>
      <c r="J54" s="8" t="inlineStr">
        <is>
          <t>—</t>
        </is>
      </c>
      <c r="K54" s="8" t="inlineStr">
        <is>
          <t>Engineering reference value; varies with T &amp; humidity</t>
        </is>
      </c>
    </row>
    <row r="55" ht="16" customHeight="1">
      <c r="A55" s="3" t="inlineStr">
        <is>
          <t>Cv_air</t>
        </is>
      </c>
      <c r="B55" s="4" t="inlineStr">
        <is>
          <t>Specific heat capacity of air at const. volume (~25°C)</t>
        </is>
      </c>
      <c r="C55" s="5" t="n">
        <v>718</v>
      </c>
      <c r="D55" s="4" t="inlineStr">
        <is>
          <t>approx.</t>
        </is>
      </c>
      <c r="E55" s="4" t="inlineStr">
        <is>
          <t>J·kg⁻¹·K⁻¹</t>
        </is>
      </c>
      <c r="F55" s="4" t="inlineStr">
        <is>
          <t>m²·s⁻²·K⁻¹</t>
        </is>
      </c>
      <c r="G55" s="4" t="inlineStr">
        <is>
          <t>L² T⁻² Th⁻¹</t>
        </is>
      </c>
      <c r="H55" s="4" t="inlineStr">
        <is>
          <t>Thermodynamic</t>
        </is>
      </c>
      <c r="I55" s="6" t="inlineStr">
        <is>
          <t>N</t>
        </is>
      </c>
      <c r="J55" s="4" t="inlineStr">
        <is>
          <t>—</t>
        </is>
      </c>
      <c r="K55" s="4" t="inlineStr">
        <is>
          <t>γ = Cp/Cv ≈ 1.400 for dry air</t>
        </is>
      </c>
    </row>
    <row r="56" ht="16" customHeight="1">
      <c r="A56" s="7" t="inlineStr">
        <is>
          <t>γ_air</t>
        </is>
      </c>
      <c r="B56" s="8" t="inlineStr">
        <is>
          <t>Heat capacity ratio of dry air</t>
        </is>
      </c>
      <c r="C56" s="9" t="n">
        <v>1.4</v>
      </c>
      <c r="D56" s="8" t="inlineStr">
        <is>
          <t>approx.</t>
        </is>
      </c>
      <c r="E56" s="8" t="inlineStr">
        <is>
          <t>dimensionless</t>
        </is>
      </c>
      <c r="F56" s="8" t="inlineStr">
        <is>
          <t>—</t>
        </is>
      </c>
      <c r="G56" s="8" t="inlineStr">
        <is>
          <t>dimensionless</t>
        </is>
      </c>
      <c r="H56" s="8" t="inlineStr">
        <is>
          <t>Thermodynamic</t>
        </is>
      </c>
      <c r="I56" s="10" t="inlineStr">
        <is>
          <t>N</t>
        </is>
      </c>
      <c r="J56" s="8" t="inlineStr">
        <is>
          <t>—</t>
        </is>
      </c>
      <c r="K56" s="8" t="inlineStr">
        <is>
          <t>γ = Cp/Cv ≈ 1.4 at 25°C, 1 atm</t>
        </is>
      </c>
    </row>
    <row r="57" ht="18" customHeight="1">
      <c r="A57" s="2" t="inlineStr">
        <is>
          <t>GRAVITATIONAL &amp; GEOPHYSICAL CONSTANTS</t>
        </is>
      </c>
    </row>
    <row r="58" ht="16" customHeight="1">
      <c r="A58" s="3" t="inlineStr">
        <is>
          <t>g_n</t>
        </is>
      </c>
      <c r="B58" s="4" t="inlineStr">
        <is>
          <t>Standard acceleration of gravity</t>
        </is>
      </c>
      <c r="C58" s="5" t="n">
        <v>9.806649999999999</v>
      </c>
      <c r="D58" s="4" t="inlineStr">
        <is>
          <t>exact</t>
        </is>
      </c>
      <c r="E58" s="4" t="inlineStr">
        <is>
          <t>m·s⁻²</t>
        </is>
      </c>
      <c r="F58" s="4" t="inlineStr">
        <is>
          <t>m·s⁻²</t>
        </is>
      </c>
      <c r="G58" s="4" t="inlineStr">
        <is>
          <t>L T⁻²</t>
        </is>
      </c>
      <c r="H58" s="4" t="inlineStr">
        <is>
          <t>Gravitational</t>
        </is>
      </c>
      <c r="I58" s="6" t="inlineStr">
        <is>
          <t>Y</t>
        </is>
      </c>
      <c r="J58" s="4" t="inlineStr">
        <is>
          <t>9.806 65</t>
        </is>
      </c>
      <c r="K58" s="4" t="inlineStr">
        <is>
          <t>g_n; exact by definition (ISO 80000-3); CGPM 1901</t>
        </is>
      </c>
    </row>
    <row r="59" ht="16" customHeight="1">
      <c r="A59" s="7" t="inlineStr">
        <is>
          <t>g_equator</t>
        </is>
      </c>
      <c r="B59" s="8" t="inlineStr">
        <is>
          <t>Gravitational acceleration at equator (sea level)</t>
        </is>
      </c>
      <c r="C59" s="9" t="n">
        <v>9.7803267715</v>
      </c>
      <c r="D59" s="8" t="inlineStr">
        <is>
          <t>±0.0000000002</t>
        </is>
      </c>
      <c r="E59" s="8" t="inlineStr">
        <is>
          <t>m·s⁻²</t>
        </is>
      </c>
      <c r="F59" s="8" t="inlineStr">
        <is>
          <t>m·s⁻²</t>
        </is>
      </c>
      <c r="G59" s="8" t="inlineStr">
        <is>
          <t>L T⁻²</t>
        </is>
      </c>
      <c r="H59" s="8" t="inlineStr">
        <is>
          <t>Gravitational</t>
        </is>
      </c>
      <c r="I59" s="10" t="inlineStr">
        <is>
          <t>N</t>
        </is>
      </c>
      <c r="J59" s="8" t="inlineStr">
        <is>
          <t>9.780 326 7715</t>
        </is>
      </c>
      <c r="K59" s="8" t="inlineStr">
        <is>
          <t>WGS-84 ellipsoidal model</t>
        </is>
      </c>
    </row>
    <row r="60" ht="16" customHeight="1">
      <c r="A60" s="3" t="inlineStr">
        <is>
          <t>g_pole</t>
        </is>
      </c>
      <c r="B60" s="4" t="inlineStr">
        <is>
          <t>Gravitational acceleration at poles (sea level)</t>
        </is>
      </c>
      <c r="C60" s="5" t="n">
        <v>9.8321863685</v>
      </c>
      <c r="D60" s="4" t="inlineStr">
        <is>
          <t>±0.0000000002</t>
        </is>
      </c>
      <c r="E60" s="4" t="inlineStr">
        <is>
          <t>m·s⁻²</t>
        </is>
      </c>
      <c r="F60" s="4" t="inlineStr">
        <is>
          <t>m·s⁻²</t>
        </is>
      </c>
      <c r="G60" s="4" t="inlineStr">
        <is>
          <t>L T⁻²</t>
        </is>
      </c>
      <c r="H60" s="4" t="inlineStr">
        <is>
          <t>Gravitational</t>
        </is>
      </c>
      <c r="I60" s="6" t="inlineStr">
        <is>
          <t>N</t>
        </is>
      </c>
      <c r="J60" s="4" t="inlineStr">
        <is>
          <t>9.832 186 3685</t>
        </is>
      </c>
      <c r="K60" s="4" t="inlineStr">
        <is>
          <t>WGS-84 ellipsoidal model</t>
        </is>
      </c>
    </row>
    <row r="61" ht="16" customHeight="1">
      <c r="A61" s="7" t="inlineStr">
        <is>
          <t>GM_E</t>
        </is>
      </c>
      <c r="B61" s="8" t="inlineStr">
        <is>
          <t>Geocentric gravitational constant</t>
        </is>
      </c>
      <c r="C61" s="9" t="n">
        <v>398600441800000</v>
      </c>
      <c r="D61" s="8" t="inlineStr">
        <is>
          <t>±0.000000008 × 10¹⁴</t>
        </is>
      </c>
      <c r="E61" s="8" t="inlineStr">
        <is>
          <t>m³·s⁻²</t>
        </is>
      </c>
      <c r="F61" s="8" t="inlineStr">
        <is>
          <t>m³·s⁻²</t>
        </is>
      </c>
      <c r="G61" s="8" t="inlineStr">
        <is>
          <t>L³ T⁻²</t>
        </is>
      </c>
      <c r="H61" s="8" t="inlineStr">
        <is>
          <t>Gravitational</t>
        </is>
      </c>
      <c r="I61" s="10" t="inlineStr">
        <is>
          <t>N</t>
        </is>
      </c>
      <c r="J61" s="8" t="inlineStr">
        <is>
          <t>3.986 004 418 × 10¹⁴</t>
        </is>
      </c>
      <c r="K61" s="8" t="inlineStr">
        <is>
          <t>GM_E = G·M_Earth; EGM2008 / IERS 2010</t>
        </is>
      </c>
    </row>
    <row r="62" ht="16" customHeight="1">
      <c r="A62" s="3" t="inlineStr">
        <is>
          <t>M_E</t>
        </is>
      </c>
      <c r="B62" s="4" t="inlineStr">
        <is>
          <t>Mass of Earth</t>
        </is>
      </c>
      <c r="C62" s="5" t="n">
        <v>5.9722e+24</v>
      </c>
      <c r="D62" s="4" t="inlineStr">
        <is>
          <t>±0.0006 × 10²⁴</t>
        </is>
      </c>
      <c r="E62" s="4" t="inlineStr">
        <is>
          <t>kg</t>
        </is>
      </c>
      <c r="F62" s="4" t="inlineStr">
        <is>
          <t>kg</t>
        </is>
      </c>
      <c r="G62" s="4" t="inlineStr">
        <is>
          <t>M</t>
        </is>
      </c>
      <c r="H62" s="4" t="inlineStr">
        <is>
          <t>Gravitational</t>
        </is>
      </c>
      <c r="I62" s="6" t="inlineStr">
        <is>
          <t>N</t>
        </is>
      </c>
      <c r="J62" s="4" t="inlineStr">
        <is>
          <t>5.9722 × 10²⁴</t>
        </is>
      </c>
      <c r="K62" s="4" t="inlineStr">
        <is>
          <t>IAU 2015 nominal; derived from GM_E/G</t>
        </is>
      </c>
    </row>
    <row r="63" ht="16" customHeight="1">
      <c r="A63" s="7" t="inlineStr">
        <is>
          <t>R_E</t>
        </is>
      </c>
      <c r="B63" s="8" t="inlineStr">
        <is>
          <t>Mean radius of Earth</t>
        </is>
      </c>
      <c r="C63" s="9" t="n">
        <v>6371000</v>
      </c>
      <c r="D63" s="8" t="inlineStr">
        <is>
          <t>±1000</t>
        </is>
      </c>
      <c r="E63" s="8" t="inlineStr">
        <is>
          <t>m</t>
        </is>
      </c>
      <c r="F63" s="8" t="inlineStr">
        <is>
          <t>m</t>
        </is>
      </c>
      <c r="G63" s="8" t="inlineStr">
        <is>
          <t>L</t>
        </is>
      </c>
      <c r="H63" s="8" t="inlineStr">
        <is>
          <t>Gravitational</t>
        </is>
      </c>
      <c r="I63" s="10" t="inlineStr">
        <is>
          <t>N</t>
        </is>
      </c>
      <c r="J63" s="8" t="inlineStr">
        <is>
          <t>6.371 × 10⁶</t>
        </is>
      </c>
      <c r="K63" s="8" t="inlineStr">
        <is>
          <t>IUGG mean radius; IAU 2015</t>
        </is>
      </c>
    </row>
    <row r="64" ht="16" customHeight="1">
      <c r="A64" s="3" t="inlineStr">
        <is>
          <t>R_E_eq</t>
        </is>
      </c>
      <c r="B64" s="4" t="inlineStr">
        <is>
          <t>Equatorial radius of Earth</t>
        </is>
      </c>
      <c r="C64" s="5" t="n">
        <v>6378137</v>
      </c>
      <c r="D64" s="4" t="inlineStr">
        <is>
          <t>exact</t>
        </is>
      </c>
      <c r="E64" s="4" t="inlineStr">
        <is>
          <t>m</t>
        </is>
      </c>
      <c r="F64" s="4" t="inlineStr">
        <is>
          <t>m</t>
        </is>
      </c>
      <c r="G64" s="4" t="inlineStr">
        <is>
          <t>L</t>
        </is>
      </c>
      <c r="H64" s="4" t="inlineStr">
        <is>
          <t>Gravitational</t>
        </is>
      </c>
      <c r="I64" s="6" t="inlineStr">
        <is>
          <t>Y</t>
        </is>
      </c>
      <c r="J64" s="4" t="inlineStr">
        <is>
          <t>6 378 137</t>
        </is>
      </c>
      <c r="K64" s="4" t="inlineStr">
        <is>
          <t>WGS-84 definition; exact</t>
        </is>
      </c>
    </row>
    <row r="65" ht="16" customHeight="1">
      <c r="A65" s="7" t="inlineStr">
        <is>
          <t>R_E_pol</t>
        </is>
      </c>
      <c r="B65" s="8" t="inlineStr">
        <is>
          <t>Polar radius of Earth</t>
        </is>
      </c>
      <c r="C65" s="9" t="n">
        <v>6356752.3142</v>
      </c>
      <c r="D65" s="8" t="inlineStr">
        <is>
          <t>±0.0001</t>
        </is>
      </c>
      <c r="E65" s="8" t="inlineStr">
        <is>
          <t>m</t>
        </is>
      </c>
      <c r="F65" s="8" t="inlineStr">
        <is>
          <t>m</t>
        </is>
      </c>
      <c r="G65" s="8" t="inlineStr">
        <is>
          <t>L</t>
        </is>
      </c>
      <c r="H65" s="8" t="inlineStr">
        <is>
          <t>Gravitational</t>
        </is>
      </c>
      <c r="I65" s="10" t="inlineStr">
        <is>
          <t>N</t>
        </is>
      </c>
      <c r="J65" s="8" t="inlineStr">
        <is>
          <t>6 356 752.3142</t>
        </is>
      </c>
      <c r="K65" s="8" t="inlineStr">
        <is>
          <t>WGS-84 derived</t>
        </is>
      </c>
    </row>
    <row r="66" ht="16" customHeight="1">
      <c r="A66" s="3" t="inlineStr">
        <is>
          <t>f_Earth</t>
        </is>
      </c>
      <c r="B66" s="4" t="inlineStr">
        <is>
          <t>Flattening of Earth (WGS-84)</t>
        </is>
      </c>
      <c r="C66" s="5" t="n">
        <v>298.257223563</v>
      </c>
      <c r="D66" s="4" t="inlineStr">
        <is>
          <t>exact</t>
        </is>
      </c>
      <c r="E66" s="4" t="inlineStr">
        <is>
          <t>1/f (dimensionless)</t>
        </is>
      </c>
      <c r="F66" s="4" t="inlineStr">
        <is>
          <t>—</t>
        </is>
      </c>
      <c r="G66" s="4" t="inlineStr">
        <is>
          <t>dimensionless</t>
        </is>
      </c>
      <c r="H66" s="4" t="inlineStr">
        <is>
          <t>Gravitational</t>
        </is>
      </c>
      <c r="I66" s="6" t="inlineStr">
        <is>
          <t>Y</t>
        </is>
      </c>
      <c r="J66" s="4" t="inlineStr">
        <is>
          <t>298.257 223 563</t>
        </is>
      </c>
      <c r="K66" s="4" t="inlineStr">
        <is>
          <t>Inverse flattening; WGS-84 definition</t>
        </is>
      </c>
    </row>
    <row r="67" ht="16" customHeight="1">
      <c r="A67" s="7" t="inlineStr">
        <is>
          <t>p_atm_std</t>
        </is>
      </c>
      <c r="B67" s="8" t="inlineStr">
        <is>
          <t>Standard atmosphere pressure</t>
        </is>
      </c>
      <c r="C67" s="9" t="n">
        <v>101325</v>
      </c>
      <c r="D67" s="8" t="inlineStr">
        <is>
          <t>exact</t>
        </is>
      </c>
      <c r="E67" s="8" t="inlineStr">
        <is>
          <t>Pa</t>
        </is>
      </c>
      <c r="F67" s="8" t="inlineStr">
        <is>
          <t>kg·m⁻¹·s⁻²</t>
        </is>
      </c>
      <c r="G67" s="8" t="inlineStr">
        <is>
          <t>M L⁻¹ T⁻²</t>
        </is>
      </c>
      <c r="H67" s="8" t="inlineStr">
        <is>
          <t>Gravitational</t>
        </is>
      </c>
      <c r="I67" s="10" t="inlineStr">
        <is>
          <t>Y</t>
        </is>
      </c>
      <c r="J67" s="8" t="inlineStr">
        <is>
          <t>101 325</t>
        </is>
      </c>
      <c r="K67" s="8" t="inlineStr">
        <is>
          <t>1 atm; exact by definition; ISO 2533</t>
        </is>
      </c>
    </row>
    <row r="68" ht="16" customHeight="1">
      <c r="A68" s="3" t="inlineStr">
        <is>
          <t>ρ_air_STP</t>
        </is>
      </c>
      <c r="B68" s="4" t="inlineStr">
        <is>
          <t>Density of dry air at STP (0°C, 101.325 kPa)</t>
        </is>
      </c>
      <c r="C68" s="5" t="n">
        <v>1.2929</v>
      </c>
      <c r="D68" s="4" t="inlineStr">
        <is>
          <t>approx.</t>
        </is>
      </c>
      <c r="E68" s="4" t="inlineStr">
        <is>
          <t>kg·m⁻³</t>
        </is>
      </c>
      <c r="F68" s="4" t="inlineStr">
        <is>
          <t>kg·m⁻³</t>
        </is>
      </c>
      <c r="G68" s="4" t="inlineStr">
        <is>
          <t>M L⁻³</t>
        </is>
      </c>
      <c r="H68" s="4" t="inlineStr">
        <is>
          <t>Gravitational</t>
        </is>
      </c>
      <c r="I68" s="6" t="inlineStr">
        <is>
          <t>N</t>
        </is>
      </c>
      <c r="J68" s="4" t="inlineStr">
        <is>
          <t>—</t>
        </is>
      </c>
      <c r="K68" s="4" t="inlineStr">
        <is>
          <t>Calculated from ideal gas law; M_air = 28.9645 g/mol</t>
        </is>
      </c>
    </row>
    <row r="69" ht="16" customHeight="1">
      <c r="A69" s="7" t="inlineStr">
        <is>
          <t>M_air</t>
        </is>
      </c>
      <c r="B69" s="8" t="inlineStr">
        <is>
          <t>Molar mass of dry air</t>
        </is>
      </c>
      <c r="C69" s="9" t="n">
        <v>0.028965</v>
      </c>
      <c r="D69" s="8" t="inlineStr">
        <is>
          <t>approx.</t>
        </is>
      </c>
      <c r="E69" s="8" t="inlineStr">
        <is>
          <t>kg·mol⁻¹</t>
        </is>
      </c>
      <c r="F69" s="8" t="inlineStr">
        <is>
          <t>kg·mol⁻¹</t>
        </is>
      </c>
      <c r="G69" s="8" t="inlineStr">
        <is>
          <t>M N⁻¹</t>
        </is>
      </c>
      <c r="H69" s="8" t="inlineStr">
        <is>
          <t>Gravitational</t>
        </is>
      </c>
      <c r="I69" s="10" t="inlineStr">
        <is>
          <t>N</t>
        </is>
      </c>
      <c r="J69" s="8" t="inlineStr">
        <is>
          <t>—</t>
        </is>
      </c>
      <c r="K69" s="8" t="inlineStr">
        <is>
          <t>Dry air composition; ISO 2533; 28.965 g/mol</t>
        </is>
      </c>
    </row>
    <row r="70" ht="18" customHeight="1">
      <c r="A70" s="2" t="inlineStr">
        <is>
          <t>ASTRONOMICAL CONSTANTS</t>
        </is>
      </c>
    </row>
    <row r="71" ht="16" customHeight="1">
      <c r="A71" s="3" t="inlineStr">
        <is>
          <t>au</t>
        </is>
      </c>
      <c r="B71" s="4" t="inlineStr">
        <is>
          <t>Astronomical unit</t>
        </is>
      </c>
      <c r="C71" s="5" t="n">
        <v>149597870700</v>
      </c>
      <c r="D71" s="4" t="inlineStr">
        <is>
          <t>exact</t>
        </is>
      </c>
      <c r="E71" s="4" t="inlineStr">
        <is>
          <t>m</t>
        </is>
      </c>
      <c r="F71" s="4" t="inlineStr">
        <is>
          <t>m</t>
        </is>
      </c>
      <c r="G71" s="4" t="inlineStr">
        <is>
          <t>L</t>
        </is>
      </c>
      <c r="H71" s="4" t="inlineStr">
        <is>
          <t>Astronomical</t>
        </is>
      </c>
      <c r="I71" s="6" t="inlineStr">
        <is>
          <t>Y</t>
        </is>
      </c>
      <c r="J71" s="4" t="inlineStr">
        <is>
          <t>1.495 978 707 × 10¹¹</t>
        </is>
      </c>
      <c r="K71" s="4" t="inlineStr">
        <is>
          <t>IAU 2012 resolution B2; exact</t>
        </is>
      </c>
    </row>
    <row r="72" ht="16" customHeight="1">
      <c r="A72" s="7" t="inlineStr">
        <is>
          <t>ly</t>
        </is>
      </c>
      <c r="B72" s="8" t="inlineStr">
        <is>
          <t>Light-year</t>
        </is>
      </c>
      <c r="C72" s="9" t="n">
        <v>9460730472580800</v>
      </c>
      <c r="D72" s="8" t="inlineStr">
        <is>
          <t>exact</t>
        </is>
      </c>
      <c r="E72" s="8" t="inlineStr">
        <is>
          <t>m</t>
        </is>
      </c>
      <c r="F72" s="8" t="inlineStr">
        <is>
          <t>m</t>
        </is>
      </c>
      <c r="G72" s="8" t="inlineStr">
        <is>
          <t>L</t>
        </is>
      </c>
      <c r="H72" s="8" t="inlineStr">
        <is>
          <t>Astronomical</t>
        </is>
      </c>
      <c r="I72" s="10" t="inlineStr">
        <is>
          <t>Y</t>
        </is>
      </c>
      <c r="J72" s="8" t="inlineStr">
        <is>
          <t>9.460 730 472 5808 × 10¹⁵</t>
        </is>
      </c>
      <c r="K72" s="8" t="inlineStr">
        <is>
          <t>IAU; 365.25 Julian days × c</t>
        </is>
      </c>
    </row>
    <row r="73" ht="16" customHeight="1">
      <c r="A73" s="3" t="inlineStr">
        <is>
          <t>pc</t>
        </is>
      </c>
      <c r="B73" s="4" t="inlineStr">
        <is>
          <t>Parsec</t>
        </is>
      </c>
      <c r="C73" s="5" t="n">
        <v>3.085677581e+16</v>
      </c>
      <c r="D73" s="4" t="inlineStr">
        <is>
          <t>approx.</t>
        </is>
      </c>
      <c r="E73" s="4" t="inlineStr">
        <is>
          <t>m</t>
        </is>
      </c>
      <c r="F73" s="4" t="inlineStr">
        <is>
          <t>m</t>
        </is>
      </c>
      <c r="G73" s="4" t="inlineStr">
        <is>
          <t>L</t>
        </is>
      </c>
      <c r="H73" s="4" t="inlineStr">
        <is>
          <t>Astronomical</t>
        </is>
      </c>
      <c r="I73" s="6" t="inlineStr">
        <is>
          <t>N</t>
        </is>
      </c>
      <c r="J73" s="4" t="inlineStr">
        <is>
          <t>3.085 677 581 × 10¹⁶</t>
        </is>
      </c>
      <c r="K73" s="4" t="inlineStr">
        <is>
          <t>1 pc = au/tan(1 arcsec); IAU</t>
        </is>
      </c>
    </row>
    <row r="74" ht="16" customHeight="1">
      <c r="A74" s="7" t="inlineStr">
        <is>
          <t>GM_Sun</t>
        </is>
      </c>
      <c r="B74" s="8" t="inlineStr">
        <is>
          <t>Heliocentric gravitational constant</t>
        </is>
      </c>
      <c r="C74" s="9" t="n">
        <v>1.32712440018e+20</v>
      </c>
      <c r="D74" s="8" t="inlineStr">
        <is>
          <t>±0.00000000008 × 10²⁰</t>
        </is>
      </c>
      <c r="E74" s="8" t="inlineStr">
        <is>
          <t>m³·s⁻²</t>
        </is>
      </c>
      <c r="F74" s="8" t="inlineStr">
        <is>
          <t>m³·s⁻²</t>
        </is>
      </c>
      <c r="G74" s="8" t="inlineStr">
        <is>
          <t>L³ T⁻²</t>
        </is>
      </c>
      <c r="H74" s="8" t="inlineStr">
        <is>
          <t>Astronomical</t>
        </is>
      </c>
      <c r="I74" s="10" t="inlineStr">
        <is>
          <t>N</t>
        </is>
      </c>
      <c r="J74" s="8" t="inlineStr">
        <is>
          <t>1.327 124 400 18 × 10²⁰</t>
        </is>
      </c>
      <c r="K74" s="8" t="inlineStr">
        <is>
          <t>IAU 2015 nominal solar mass parameter</t>
        </is>
      </c>
    </row>
    <row r="75" ht="16" customHeight="1">
      <c r="A75" s="3" t="inlineStr">
        <is>
          <t>M_Sun</t>
        </is>
      </c>
      <c r="B75" s="4" t="inlineStr">
        <is>
          <t>Solar mass</t>
        </is>
      </c>
      <c r="C75" s="5" t="n">
        <v>1.98892e+30</v>
      </c>
      <c r="D75" s="4" t="inlineStr">
        <is>
          <t>±0.00025 × 10³⁰</t>
        </is>
      </c>
      <c r="E75" s="4" t="inlineStr">
        <is>
          <t>kg</t>
        </is>
      </c>
      <c r="F75" s="4" t="inlineStr">
        <is>
          <t>kg</t>
        </is>
      </c>
      <c r="G75" s="4" t="inlineStr">
        <is>
          <t>M</t>
        </is>
      </c>
      <c r="H75" s="4" t="inlineStr">
        <is>
          <t>Astronomical</t>
        </is>
      </c>
      <c r="I75" s="6" t="inlineStr">
        <is>
          <t>N</t>
        </is>
      </c>
      <c r="J75" s="4" t="inlineStr">
        <is>
          <t>1.988 92 × 10³⁰</t>
        </is>
      </c>
      <c r="K75" s="4" t="inlineStr">
        <is>
          <t>IAU 2015 nominal; derived from GM_Sun</t>
        </is>
      </c>
    </row>
    <row r="76" ht="16" customHeight="1">
      <c r="A76" s="7" t="inlineStr">
        <is>
          <t>R_Sun</t>
        </is>
      </c>
      <c r="B76" s="8" t="inlineStr">
        <is>
          <t>Solar radius (nominal)</t>
        </is>
      </c>
      <c r="C76" s="9" t="n">
        <v>695700000</v>
      </c>
      <c r="D76" s="8" t="inlineStr">
        <is>
          <t>exact (nominal)</t>
        </is>
      </c>
      <c r="E76" s="8" t="inlineStr">
        <is>
          <t>m</t>
        </is>
      </c>
      <c r="F76" s="8" t="inlineStr">
        <is>
          <t>m</t>
        </is>
      </c>
      <c r="G76" s="8" t="inlineStr">
        <is>
          <t>L</t>
        </is>
      </c>
      <c r="H76" s="8" t="inlineStr">
        <is>
          <t>Astronomical</t>
        </is>
      </c>
      <c r="I76" s="10" t="inlineStr">
        <is>
          <t>Y</t>
        </is>
      </c>
      <c r="J76" s="8" t="inlineStr">
        <is>
          <t>6.957 × 10⁸</t>
        </is>
      </c>
      <c r="K76" s="8" t="inlineStr">
        <is>
          <t>IAU 2015 Resolution B3 nominal value</t>
        </is>
      </c>
    </row>
    <row r="77" ht="16" customHeight="1">
      <c r="A77" s="3" t="inlineStr">
        <is>
          <t>L_Sun</t>
        </is>
      </c>
      <c r="B77" s="4" t="inlineStr">
        <is>
          <t>Solar luminosity (nominal)</t>
        </is>
      </c>
      <c r="C77" s="5" t="n">
        <v>3.828e+26</v>
      </c>
      <c r="D77" s="4" t="inlineStr">
        <is>
          <t>exact (nominal)</t>
        </is>
      </c>
      <c r="E77" s="4" t="inlineStr">
        <is>
          <t>W</t>
        </is>
      </c>
      <c r="F77" s="4" t="inlineStr">
        <is>
          <t>kg·m²·s⁻³</t>
        </is>
      </c>
      <c r="G77" s="4" t="inlineStr">
        <is>
          <t>M L² T⁻³</t>
        </is>
      </c>
      <c r="H77" s="4" t="inlineStr">
        <is>
          <t>Astronomical</t>
        </is>
      </c>
      <c r="I77" s="6" t="inlineStr">
        <is>
          <t>Y</t>
        </is>
      </c>
      <c r="J77" s="4" t="inlineStr">
        <is>
          <t>3.828 × 10²⁶</t>
        </is>
      </c>
      <c r="K77" s="4" t="inlineStr">
        <is>
          <t>IAU 2015 nominal solar luminosity</t>
        </is>
      </c>
    </row>
    <row r="78" ht="16" customHeight="1">
      <c r="A78" s="7" t="inlineStr">
        <is>
          <t>T_Sun</t>
        </is>
      </c>
      <c r="B78" s="8" t="inlineStr">
        <is>
          <t>Effective temperature of Sun</t>
        </is>
      </c>
      <c r="C78" s="9" t="n">
        <v>5778</v>
      </c>
      <c r="D78" s="8" t="inlineStr">
        <is>
          <t>±3</t>
        </is>
      </c>
      <c r="E78" s="8" t="inlineStr">
        <is>
          <t>K</t>
        </is>
      </c>
      <c r="F78" s="8" t="inlineStr">
        <is>
          <t>K</t>
        </is>
      </c>
      <c r="G78" s="8" t="inlineStr">
        <is>
          <t>Th</t>
        </is>
      </c>
      <c r="H78" s="8" t="inlineStr">
        <is>
          <t>Astronomical</t>
        </is>
      </c>
      <c r="I78" s="10" t="inlineStr">
        <is>
          <t>N</t>
        </is>
      </c>
      <c r="J78" s="8" t="inlineStr">
        <is>
          <t>5 778</t>
        </is>
      </c>
      <c r="K78" s="8" t="inlineStr">
        <is>
          <t>Photospheric effective temperature</t>
        </is>
      </c>
    </row>
    <row r="79" ht="16" customHeight="1">
      <c r="A79" s="3" t="inlineStr">
        <is>
          <t>M_Moon</t>
        </is>
      </c>
      <c r="B79" s="4" t="inlineStr">
        <is>
          <t>Mass of Moon</t>
        </is>
      </c>
      <c r="C79" s="5" t="n">
        <v>7.342e+22</v>
      </c>
      <c r="D79" s="4" t="inlineStr">
        <is>
          <t>±0.001 × 10²²</t>
        </is>
      </c>
      <c r="E79" s="4" t="inlineStr">
        <is>
          <t>kg</t>
        </is>
      </c>
      <c r="F79" s="4" t="inlineStr">
        <is>
          <t>kg</t>
        </is>
      </c>
      <c r="G79" s="4" t="inlineStr">
        <is>
          <t>M</t>
        </is>
      </c>
      <c r="H79" s="4" t="inlineStr">
        <is>
          <t>Astronomical</t>
        </is>
      </c>
      <c r="I79" s="6" t="inlineStr">
        <is>
          <t>N</t>
        </is>
      </c>
      <c r="J79" s="4" t="inlineStr">
        <is>
          <t>7.342 × 10²²</t>
        </is>
      </c>
      <c r="K79" s="4" t="inlineStr">
        <is>
          <t>DE430 ephemeris; IAU</t>
        </is>
      </c>
    </row>
    <row r="80" ht="16" customHeight="1">
      <c r="A80" s="7" t="inlineStr">
        <is>
          <t>R_Moon</t>
        </is>
      </c>
      <c r="B80" s="8" t="inlineStr">
        <is>
          <t>Mean radius of Moon</t>
        </is>
      </c>
      <c r="C80" s="9" t="n">
        <v>1737400</v>
      </c>
      <c r="D80" s="8" t="inlineStr">
        <is>
          <t>±0.0001 × 10⁶</t>
        </is>
      </c>
      <c r="E80" s="8" t="inlineStr">
        <is>
          <t>m</t>
        </is>
      </c>
      <c r="F80" s="8" t="inlineStr">
        <is>
          <t>m</t>
        </is>
      </c>
      <c r="G80" s="8" t="inlineStr">
        <is>
          <t>L</t>
        </is>
      </c>
      <c r="H80" s="8" t="inlineStr">
        <is>
          <t>Astronomical</t>
        </is>
      </c>
      <c r="I80" s="10" t="inlineStr">
        <is>
          <t>N</t>
        </is>
      </c>
      <c r="J80" s="8" t="inlineStr">
        <is>
          <t>1.7374 × 10⁶</t>
        </is>
      </c>
      <c r="K80" s="8" t="inlineStr">
        <is>
          <t>IAU WGCCRE 2015</t>
        </is>
      </c>
    </row>
    <row r="81" ht="16" customHeight="1">
      <c r="A81" s="3" t="inlineStr">
        <is>
          <t>T_CMB</t>
        </is>
      </c>
      <c r="B81" s="4" t="inlineStr">
        <is>
          <t>CMB temperature</t>
        </is>
      </c>
      <c r="C81" s="5" t="n">
        <v>2.72548</v>
      </c>
      <c r="D81" s="4" t="inlineStr">
        <is>
          <t>±0.00057</t>
        </is>
      </c>
      <c r="E81" s="4" t="inlineStr">
        <is>
          <t>K</t>
        </is>
      </c>
      <c r="F81" s="4" t="inlineStr">
        <is>
          <t>K</t>
        </is>
      </c>
      <c r="G81" s="4" t="inlineStr">
        <is>
          <t>Th</t>
        </is>
      </c>
      <c r="H81" s="4" t="inlineStr">
        <is>
          <t>Astronomical</t>
        </is>
      </c>
      <c r="I81" s="6" t="inlineStr">
        <is>
          <t>N</t>
        </is>
      </c>
      <c r="J81" s="4" t="inlineStr">
        <is>
          <t>2.725 48</t>
        </is>
      </c>
      <c r="K81" s="4" t="inlineStr">
        <is>
          <t>Cosmic Microwave Background; Fixsen 2009, ApJ 707</t>
        </is>
      </c>
    </row>
    <row r="82" ht="16" customHeight="1">
      <c r="A82" s="7" t="inlineStr">
        <is>
          <t>H_0</t>
        </is>
      </c>
      <c r="B82" s="8" t="inlineStr">
        <is>
          <t>Hubble constant (Planck 2018)</t>
        </is>
      </c>
      <c r="C82" s="9" t="n">
        <v>67.40000000000001</v>
      </c>
      <c r="D82" s="8" t="inlineStr">
        <is>
          <t>±0.5</t>
        </is>
      </c>
      <c r="E82" s="8" t="inlineStr">
        <is>
          <t>km·s⁻¹·Mpc⁻¹</t>
        </is>
      </c>
      <c r="F82" s="8" t="inlineStr">
        <is>
          <t>s⁻¹</t>
        </is>
      </c>
      <c r="G82" s="8" t="inlineStr">
        <is>
          <t>T⁻¹</t>
        </is>
      </c>
      <c r="H82" s="8" t="inlineStr">
        <is>
          <t>Astronomical</t>
        </is>
      </c>
      <c r="I82" s="10" t="inlineStr">
        <is>
          <t>N</t>
        </is>
      </c>
      <c r="J82" s="8" t="inlineStr">
        <is>
          <t>67.4</t>
        </is>
      </c>
      <c r="K82" s="8" t="inlineStr">
        <is>
          <t>Planck Collaboration 2018; 67.4 ± 0.5 km/s/Mpc</t>
        </is>
      </c>
    </row>
    <row r="83" ht="18" customHeight="1">
      <c r="A83" s="2" t="inlineStr">
        <is>
          <t>PHYSICO-CHEMICAL CONSTANTS</t>
        </is>
      </c>
    </row>
    <row r="84" ht="16" customHeight="1">
      <c r="A84" s="3" t="inlineStr">
        <is>
          <t>c₁</t>
        </is>
      </c>
      <c r="B84" s="4" t="inlineStr">
        <is>
          <t>First radiation constant</t>
        </is>
      </c>
      <c r="C84" s="5" t="n">
        <v>3.741771852e-16</v>
      </c>
      <c r="D84" s="4" t="inlineStr">
        <is>
          <t>exact</t>
        </is>
      </c>
      <c r="E84" s="4" t="inlineStr">
        <is>
          <t>W·m²</t>
        </is>
      </c>
      <c r="F84" s="4" t="inlineStr">
        <is>
          <t>kg·m⁴·s⁻³</t>
        </is>
      </c>
      <c r="G84" s="4" t="inlineStr">
        <is>
          <t>M L⁴ T⁻³</t>
        </is>
      </c>
      <c r="H84" s="4" t="inlineStr">
        <is>
          <t>Radiation</t>
        </is>
      </c>
      <c r="I84" s="6" t="inlineStr">
        <is>
          <t>Y</t>
        </is>
      </c>
      <c r="J84" s="4" t="inlineStr">
        <is>
          <t>3.741 771 852 × 10⁻¹⁶</t>
        </is>
      </c>
      <c r="K84" s="4" t="inlineStr">
        <is>
          <t>c₁ = 2πhc²; exact post-2019</t>
        </is>
      </c>
    </row>
    <row r="85" ht="16" customHeight="1">
      <c r="A85" s="7" t="inlineStr">
        <is>
          <t>c₁L</t>
        </is>
      </c>
      <c r="B85" s="8" t="inlineStr">
        <is>
          <t>First radiation constant for spectral radiance</t>
        </is>
      </c>
      <c r="C85" s="9" t="n">
        <v>1.191042972e-16</v>
      </c>
      <c r="D85" s="8" t="inlineStr">
        <is>
          <t>exact</t>
        </is>
      </c>
      <c r="E85" s="8" t="inlineStr">
        <is>
          <t>W·m²·sr⁻¹</t>
        </is>
      </c>
      <c r="F85" s="8" t="inlineStr">
        <is>
          <t>kg·m²·s⁻³</t>
        </is>
      </c>
      <c r="G85" s="8" t="inlineStr">
        <is>
          <t>M L² T⁻³</t>
        </is>
      </c>
      <c r="H85" s="8" t="inlineStr">
        <is>
          <t>Radiation</t>
        </is>
      </c>
      <c r="I85" s="10" t="inlineStr">
        <is>
          <t>Y</t>
        </is>
      </c>
      <c r="J85" s="8" t="inlineStr">
        <is>
          <t>1.191 042 972 × 10⁻¹⁶</t>
        </is>
      </c>
      <c r="K85" s="8" t="inlineStr">
        <is>
          <t>c₁L = 2hc²; exact</t>
        </is>
      </c>
    </row>
    <row r="86" ht="16" customHeight="1">
      <c r="A86" s="3" t="inlineStr">
        <is>
          <t>c₂</t>
        </is>
      </c>
      <c r="B86" s="4" t="inlineStr">
        <is>
          <t>Second radiation constant</t>
        </is>
      </c>
      <c r="C86" s="5" t="n">
        <v>0.014387768775</v>
      </c>
      <c r="D86" s="4" t="inlineStr">
        <is>
          <t>exact</t>
        </is>
      </c>
      <c r="E86" s="4" t="inlineStr">
        <is>
          <t>m·K</t>
        </is>
      </c>
      <c r="F86" s="4" t="inlineStr">
        <is>
          <t>m·K</t>
        </is>
      </c>
      <c r="G86" s="4" t="inlineStr">
        <is>
          <t>L Th</t>
        </is>
      </c>
      <c r="H86" s="4" t="inlineStr">
        <is>
          <t>Radiation</t>
        </is>
      </c>
      <c r="I86" s="6" t="inlineStr">
        <is>
          <t>Y</t>
        </is>
      </c>
      <c r="J86" s="4" t="inlineStr">
        <is>
          <t>0.014 387 768 775</t>
        </is>
      </c>
      <c r="K86" s="4" t="inlineStr">
        <is>
          <t>c₂ = hc/k_B; exact post-2019</t>
        </is>
      </c>
    </row>
    <row r="87" ht="16" customHeight="1">
      <c r="A87" s="7" t="inlineStr">
        <is>
          <t>m_u</t>
        </is>
      </c>
      <c r="B87" s="8" t="inlineStr">
        <is>
          <t>Molar mass constant</t>
        </is>
      </c>
      <c r="C87" s="9" t="n">
        <v>0.00099999999965</v>
      </c>
      <c r="D87" s="8" t="inlineStr">
        <is>
          <t>±0.00000000030 × 10⁻³</t>
        </is>
      </c>
      <c r="E87" s="8" t="inlineStr">
        <is>
          <t>kg·mol⁻¹</t>
        </is>
      </c>
      <c r="F87" s="8" t="inlineStr">
        <is>
          <t>kg·mol⁻¹</t>
        </is>
      </c>
      <c r="G87" s="8" t="inlineStr">
        <is>
          <t>M N⁻¹</t>
        </is>
      </c>
      <c r="H87" s="8" t="inlineStr">
        <is>
          <t>Physico-chemical</t>
        </is>
      </c>
      <c r="I87" s="10" t="inlineStr">
        <is>
          <t>N</t>
        </is>
      </c>
      <c r="J87" s="8" t="inlineStr">
        <is>
          <t>0.999 999 999 65 × 10⁻³</t>
        </is>
      </c>
      <c r="K87" s="8" t="inlineStr">
        <is>
          <t>M_u = m_u × N_A; CODATA 2018; ≈ 10⁻³ kg/mol</t>
        </is>
      </c>
    </row>
    <row r="88" ht="16" customHeight="1">
      <c r="A88" s="3" t="inlineStr">
        <is>
          <t>L_v_water</t>
        </is>
      </c>
      <c r="B88" s="4" t="inlineStr">
        <is>
          <t>Specific latent heat of vaporisation of water (100°C)</t>
        </is>
      </c>
      <c r="C88" s="5" t="n">
        <v>2257000</v>
      </c>
      <c r="D88" s="4" t="inlineStr">
        <is>
          <t>approx.</t>
        </is>
      </c>
      <c r="E88" s="4" t="inlineStr">
        <is>
          <t>J·kg⁻¹</t>
        </is>
      </c>
      <c r="F88" s="4" t="inlineStr">
        <is>
          <t>m²·s⁻²</t>
        </is>
      </c>
      <c r="G88" s="4" t="inlineStr">
        <is>
          <t>L² T⁻²</t>
        </is>
      </c>
      <c r="H88" s="4" t="inlineStr">
        <is>
          <t>Physico-chemical</t>
        </is>
      </c>
      <c r="I88" s="6" t="inlineStr">
        <is>
          <t>N</t>
        </is>
      </c>
      <c r="J88" s="4" t="inlineStr">
        <is>
          <t>—</t>
        </is>
      </c>
      <c r="K88" s="4" t="inlineStr">
        <is>
          <t>At 101.325 kPa; engineering reference</t>
        </is>
      </c>
    </row>
    <row r="89" ht="16" customHeight="1">
      <c r="A89" s="7" t="inlineStr">
        <is>
          <t>L_f_water</t>
        </is>
      </c>
      <c r="B89" s="8" t="inlineStr">
        <is>
          <t>Specific latent heat of fusion of water (0°C)</t>
        </is>
      </c>
      <c r="C89" s="9" t="n">
        <v>334000</v>
      </c>
      <c r="D89" s="8" t="inlineStr">
        <is>
          <t>approx.</t>
        </is>
      </c>
      <c r="E89" s="8" t="inlineStr">
        <is>
          <t>J·kg⁻¹</t>
        </is>
      </c>
      <c r="F89" s="8" t="inlineStr">
        <is>
          <t>m²·s⁻²</t>
        </is>
      </c>
      <c r="G89" s="8" t="inlineStr">
        <is>
          <t>L² T⁻²</t>
        </is>
      </c>
      <c r="H89" s="8" t="inlineStr">
        <is>
          <t>Physico-chemical</t>
        </is>
      </c>
      <c r="I89" s="10" t="inlineStr">
        <is>
          <t>N</t>
        </is>
      </c>
      <c r="J89" s="8" t="inlineStr">
        <is>
          <t>—</t>
        </is>
      </c>
      <c r="K89" s="8" t="inlineStr">
        <is>
          <t>At 101.325 kPa; engineering reference</t>
        </is>
      </c>
    </row>
    <row r="90" ht="16" customHeight="1">
      <c r="A90" s="3" t="inlineStr">
        <is>
          <t>c_water</t>
        </is>
      </c>
      <c r="B90" s="4" t="inlineStr">
        <is>
          <t>Specific heat capacity of liquid water (15°C)</t>
        </is>
      </c>
      <c r="C90" s="5" t="n">
        <v>4186</v>
      </c>
      <c r="D90" s="4" t="inlineStr">
        <is>
          <t>approx.</t>
        </is>
      </c>
      <c r="E90" s="4" t="inlineStr">
        <is>
          <t>J·kg⁻¹·K⁻¹</t>
        </is>
      </c>
      <c r="F90" s="4" t="inlineStr">
        <is>
          <t>m²·s⁻²·K⁻¹</t>
        </is>
      </c>
      <c r="G90" s="4" t="inlineStr">
        <is>
          <t>L² T⁻² Th⁻¹</t>
        </is>
      </c>
      <c r="H90" s="4" t="inlineStr">
        <is>
          <t>Physico-chemical</t>
        </is>
      </c>
      <c r="I90" s="6" t="inlineStr">
        <is>
          <t>N</t>
        </is>
      </c>
      <c r="J90" s="4" t="inlineStr">
        <is>
          <t>—</t>
        </is>
      </c>
      <c r="K90" s="4" t="inlineStr">
        <is>
          <t>IAPWS; 4185.5 J/(kg·K) at 15°C</t>
        </is>
      </c>
    </row>
    <row r="91" ht="16" customHeight="1">
      <c r="A91" s="7" t="inlineStr">
        <is>
          <t>ρ_water</t>
        </is>
      </c>
      <c r="B91" s="8" t="inlineStr">
        <is>
          <t>Density of liquid water (4°C, 1 atm)</t>
        </is>
      </c>
      <c r="C91" s="9" t="n">
        <v>999.972</v>
      </c>
      <c r="D91" s="8" t="inlineStr">
        <is>
          <t>approx.</t>
        </is>
      </c>
      <c r="E91" s="8" t="inlineStr">
        <is>
          <t>kg·m⁻³</t>
        </is>
      </c>
      <c r="F91" s="8" t="inlineStr">
        <is>
          <t>kg·m⁻³</t>
        </is>
      </c>
      <c r="G91" s="8" t="inlineStr">
        <is>
          <t>M L⁻³</t>
        </is>
      </c>
      <c r="H91" s="8" t="inlineStr">
        <is>
          <t>Physico-chemical</t>
        </is>
      </c>
      <c r="I91" s="10" t="inlineStr">
        <is>
          <t>N</t>
        </is>
      </c>
      <c r="J91" s="8" t="inlineStr">
        <is>
          <t>—</t>
        </is>
      </c>
      <c r="K91" s="8" t="inlineStr">
        <is>
          <t>Maximum density of water; IAPWS-95</t>
        </is>
      </c>
    </row>
    <row r="92" ht="16" customHeight="1">
      <c r="A92" s="3" t="inlineStr">
        <is>
          <t>ρ_ice</t>
        </is>
      </c>
      <c r="B92" s="4" t="inlineStr">
        <is>
          <t>Density of ice (0°C, 1 atm)</t>
        </is>
      </c>
      <c r="C92" s="5" t="n">
        <v>916.7</v>
      </c>
      <c r="D92" s="4" t="inlineStr">
        <is>
          <t>approx.</t>
        </is>
      </c>
      <c r="E92" s="4" t="inlineStr">
        <is>
          <t>kg·m⁻³</t>
        </is>
      </c>
      <c r="F92" s="4" t="inlineStr">
        <is>
          <t>kg·m⁻³</t>
        </is>
      </c>
      <c r="G92" s="4" t="inlineStr">
        <is>
          <t>M L⁻³</t>
        </is>
      </c>
      <c r="H92" s="4" t="inlineStr">
        <is>
          <t>Physico-chemical</t>
        </is>
      </c>
      <c r="I92" s="6" t="inlineStr">
        <is>
          <t>N</t>
        </is>
      </c>
      <c r="J92" s="4" t="inlineStr">
        <is>
          <t>—</t>
        </is>
      </c>
      <c r="K92" s="4" t="inlineStr">
        <is>
          <t>Engineering reference; IAPWS</t>
        </is>
      </c>
    </row>
    <row r="93" ht="16" customHeight="1">
      <c r="A93" s="7" t="inlineStr">
        <is>
          <t>γ_water</t>
        </is>
      </c>
      <c r="B93" s="8" t="inlineStr">
        <is>
          <t>Surface tension of water (20°C)</t>
        </is>
      </c>
      <c r="C93" s="9" t="n">
        <v>0.07275</v>
      </c>
      <c r="D93" s="8" t="inlineStr">
        <is>
          <t>approx.</t>
        </is>
      </c>
      <c r="E93" s="8" t="inlineStr">
        <is>
          <t>N·m⁻¹</t>
        </is>
      </c>
      <c r="F93" s="8" t="inlineStr">
        <is>
          <t>kg·s⁻²</t>
        </is>
      </c>
      <c r="G93" s="8" t="inlineStr">
        <is>
          <t>M T⁻²</t>
        </is>
      </c>
      <c r="H93" s="8" t="inlineStr">
        <is>
          <t>Physico-chemical</t>
        </is>
      </c>
      <c r="I93" s="10" t="inlineStr">
        <is>
          <t>N</t>
        </is>
      </c>
      <c r="J93" s="8" t="inlineStr">
        <is>
          <t>—</t>
        </is>
      </c>
      <c r="K93" s="8" t="inlineStr">
        <is>
          <t>IAPWS; 72.75 mN/m at 20°C</t>
        </is>
      </c>
    </row>
    <row r="94" ht="16" customHeight="1">
      <c r="A94" s="3" t="inlineStr">
        <is>
          <t>η_water</t>
        </is>
      </c>
      <c r="B94" s="4" t="inlineStr">
        <is>
          <t>Dynamic viscosity of water (20°C)</t>
        </is>
      </c>
      <c r="C94" s="5" t="n">
        <v>0.001002</v>
      </c>
      <c r="D94" s="4" t="inlineStr">
        <is>
          <t>approx.</t>
        </is>
      </c>
      <c r="E94" s="4" t="inlineStr">
        <is>
          <t>Pa·s</t>
        </is>
      </c>
      <c r="F94" s="4" t="inlineStr">
        <is>
          <t>kg·m⁻¹·s⁻¹</t>
        </is>
      </c>
      <c r="G94" s="4" t="inlineStr">
        <is>
          <t>M L⁻¹ T⁻¹</t>
        </is>
      </c>
      <c r="H94" s="4" t="inlineStr">
        <is>
          <t>Physico-chemical</t>
        </is>
      </c>
      <c r="I94" s="6" t="inlineStr">
        <is>
          <t>N</t>
        </is>
      </c>
      <c r="J94" s="4" t="inlineStr">
        <is>
          <t>—</t>
        </is>
      </c>
      <c r="K94" s="4" t="inlineStr">
        <is>
          <t>IAPWS; 1.002 mPa·s (cP) at 20°C</t>
        </is>
      </c>
    </row>
    <row r="95" ht="16" customHeight="1">
      <c r="A95" s="7" t="inlineStr">
        <is>
          <t>κ_water</t>
        </is>
      </c>
      <c r="B95" s="8" t="inlineStr">
        <is>
          <t>Thermal conductivity of water (25°C)</t>
        </is>
      </c>
      <c r="C95" s="9" t="n">
        <v>0.6065</v>
      </c>
      <c r="D95" s="8" t="inlineStr">
        <is>
          <t>approx.</t>
        </is>
      </c>
      <c r="E95" s="8" t="inlineStr">
        <is>
          <t>W·m⁻¹·K⁻¹</t>
        </is>
      </c>
      <c r="F95" s="8" t="inlineStr">
        <is>
          <t>kg·m·s⁻³·K⁻¹</t>
        </is>
      </c>
      <c r="G95" s="8" t="inlineStr">
        <is>
          <t>M L T⁻³ Th⁻¹</t>
        </is>
      </c>
      <c r="H95" s="8" t="inlineStr">
        <is>
          <t>Physico-chemical</t>
        </is>
      </c>
      <c r="I95" s="10" t="inlineStr">
        <is>
          <t>N</t>
        </is>
      </c>
      <c r="J95" s="8" t="inlineStr">
        <is>
          <t>—</t>
        </is>
      </c>
      <c r="K95" s="8" t="inlineStr">
        <is>
          <t>IAPWS-IF97; at 25°C, 101.325 kPa</t>
        </is>
      </c>
    </row>
    <row r="96" ht="16" customHeight="1">
      <c r="A96" s="3" t="inlineStr">
        <is>
          <t>T_triple</t>
        </is>
      </c>
      <c r="B96" s="4" t="inlineStr">
        <is>
          <t>Triple point of water</t>
        </is>
      </c>
      <c r="C96" s="5" t="n">
        <v>273.16</v>
      </c>
      <c r="D96" s="4" t="inlineStr">
        <is>
          <t>exact</t>
        </is>
      </c>
      <c r="E96" s="4" t="inlineStr">
        <is>
          <t>K</t>
        </is>
      </c>
      <c r="F96" s="4" t="inlineStr">
        <is>
          <t>K</t>
        </is>
      </c>
      <c r="G96" s="4" t="inlineStr">
        <is>
          <t>Th</t>
        </is>
      </c>
      <c r="H96" s="4" t="inlineStr">
        <is>
          <t>Physico-chemical</t>
        </is>
      </c>
      <c r="I96" s="6" t="inlineStr">
        <is>
          <t>Y</t>
        </is>
      </c>
      <c r="J96" s="4" t="inlineStr">
        <is>
          <t>273.16</t>
        </is>
      </c>
      <c r="K96" s="4" t="inlineStr">
        <is>
          <t>Defines 0.01°C; BIPM; 611.657 Pa</t>
        </is>
      </c>
    </row>
    <row r="97" ht="16" customHeight="1">
      <c r="A97" s="7" t="inlineStr">
        <is>
          <t>p_triple</t>
        </is>
      </c>
      <c r="B97" s="8" t="inlineStr">
        <is>
          <t>Pressure at triple point of water</t>
        </is>
      </c>
      <c r="C97" s="9" t="n">
        <v>611.657</v>
      </c>
      <c r="D97" s="8" t="inlineStr">
        <is>
          <t>±0.010</t>
        </is>
      </c>
      <c r="E97" s="8" t="inlineStr">
        <is>
          <t>Pa</t>
        </is>
      </c>
      <c r="F97" s="8" t="inlineStr">
        <is>
          <t>kg·m⁻¹·s⁻²</t>
        </is>
      </c>
      <c r="G97" s="8" t="inlineStr">
        <is>
          <t>M L⁻¹ T⁻²</t>
        </is>
      </c>
      <c r="H97" s="8" t="inlineStr">
        <is>
          <t>Physico-chemical</t>
        </is>
      </c>
      <c r="I97" s="10" t="inlineStr">
        <is>
          <t>N</t>
        </is>
      </c>
      <c r="J97" s="8" t="inlineStr">
        <is>
          <t>611.657</t>
        </is>
      </c>
      <c r="K97" s="8" t="inlineStr">
        <is>
          <t>IAPWS-95; 0.00603 atm</t>
        </is>
      </c>
    </row>
    <row r="98" ht="18" customHeight="1">
      <c r="A98" s="2" t="inlineStr">
        <is>
          <t>MATERIAL &amp; ENGINEERING REFERENCE CONSTANTS</t>
        </is>
      </c>
    </row>
    <row r="99" ht="16" customHeight="1">
      <c r="A99" s="3" t="inlineStr">
        <is>
          <t>E_steel</t>
        </is>
      </c>
      <c r="B99" s="4" t="inlineStr">
        <is>
          <t>Young's modulus of structural steel</t>
        </is>
      </c>
      <c r="C99" s="5" t="n">
        <v>200000000000</v>
      </c>
      <c r="D99" s="4" t="inlineStr">
        <is>
          <t>approx.</t>
        </is>
      </c>
      <c r="E99" s="4" t="inlineStr">
        <is>
          <t>Pa</t>
        </is>
      </c>
      <c r="F99" s="4" t="inlineStr">
        <is>
          <t>kg·m⁻¹·s⁻²</t>
        </is>
      </c>
      <c r="G99" s="4" t="inlineStr">
        <is>
          <t>M L⁻¹ T⁻²</t>
        </is>
      </c>
      <c r="H99" s="4" t="inlineStr">
        <is>
          <t>Engineering</t>
        </is>
      </c>
      <c r="I99" s="6" t="inlineStr">
        <is>
          <t>N</t>
        </is>
      </c>
      <c r="J99" s="4" t="inlineStr">
        <is>
          <t>—</t>
        </is>
      </c>
      <c r="K99" s="4" t="inlineStr">
        <is>
          <t>Typical value; 190–210 GPa; ASTM/ISO</t>
        </is>
      </c>
    </row>
    <row r="100" ht="16" customHeight="1">
      <c r="A100" s="7" t="inlineStr">
        <is>
          <t>E_Al</t>
        </is>
      </c>
      <c r="B100" s="8" t="inlineStr">
        <is>
          <t>Young's modulus of aluminium</t>
        </is>
      </c>
      <c r="C100" s="9" t="n">
        <v>69000000000</v>
      </c>
      <c r="D100" s="8" t="inlineStr">
        <is>
          <t>approx.</t>
        </is>
      </c>
      <c r="E100" s="8" t="inlineStr">
        <is>
          <t>Pa</t>
        </is>
      </c>
      <c r="F100" s="8" t="inlineStr">
        <is>
          <t>kg·m⁻¹·s⁻²</t>
        </is>
      </c>
      <c r="G100" s="8" t="inlineStr">
        <is>
          <t>M L⁻¹ T⁻²</t>
        </is>
      </c>
      <c r="H100" s="8" t="inlineStr">
        <is>
          <t>Engineering</t>
        </is>
      </c>
      <c r="I100" s="10" t="inlineStr">
        <is>
          <t>N</t>
        </is>
      </c>
      <c r="J100" s="8" t="inlineStr">
        <is>
          <t>—</t>
        </is>
      </c>
      <c r="K100" s="8" t="inlineStr">
        <is>
          <t>Typical; 68–70 GPa</t>
        </is>
      </c>
    </row>
    <row r="101" ht="16" customHeight="1">
      <c r="A101" s="3" t="inlineStr">
        <is>
          <t>E_Cu</t>
        </is>
      </c>
      <c r="B101" s="4" t="inlineStr">
        <is>
          <t>Young's modulus of copper</t>
        </is>
      </c>
      <c r="C101" s="5" t="n">
        <v>110000000000</v>
      </c>
      <c r="D101" s="4" t="inlineStr">
        <is>
          <t>approx.</t>
        </is>
      </c>
      <c r="E101" s="4" t="inlineStr">
        <is>
          <t>Pa</t>
        </is>
      </c>
      <c r="F101" s="4" t="inlineStr">
        <is>
          <t>kg·m⁻¹·s⁻²</t>
        </is>
      </c>
      <c r="G101" s="4" t="inlineStr">
        <is>
          <t>M L⁻¹ T⁻²</t>
        </is>
      </c>
      <c r="H101" s="4" t="inlineStr">
        <is>
          <t>Engineering</t>
        </is>
      </c>
      <c r="I101" s="6" t="inlineStr">
        <is>
          <t>N</t>
        </is>
      </c>
      <c r="J101" s="4" t="inlineStr">
        <is>
          <t>—</t>
        </is>
      </c>
      <c r="K101" s="4" t="inlineStr">
        <is>
          <t>Typical; 110–130 GPa</t>
        </is>
      </c>
    </row>
    <row r="102" ht="16" customHeight="1">
      <c r="A102" s="7" t="inlineStr">
        <is>
          <t>E_Ti</t>
        </is>
      </c>
      <c r="B102" s="8" t="inlineStr">
        <is>
          <t>Young's modulus of titanium</t>
        </is>
      </c>
      <c r="C102" s="9" t="n">
        <v>116000000000</v>
      </c>
      <c r="D102" s="8" t="inlineStr">
        <is>
          <t>approx.</t>
        </is>
      </c>
      <c r="E102" s="8" t="inlineStr">
        <is>
          <t>Pa</t>
        </is>
      </c>
      <c r="F102" s="8" t="inlineStr">
        <is>
          <t>kg·m⁻¹·s⁻²</t>
        </is>
      </c>
      <c r="G102" s="8" t="inlineStr">
        <is>
          <t>M L⁻¹ T⁻²</t>
        </is>
      </c>
      <c r="H102" s="8" t="inlineStr">
        <is>
          <t>Engineering</t>
        </is>
      </c>
      <c r="I102" s="10" t="inlineStr">
        <is>
          <t>N</t>
        </is>
      </c>
      <c r="J102" s="8" t="inlineStr">
        <is>
          <t>—</t>
        </is>
      </c>
      <c r="K102" s="8" t="inlineStr">
        <is>
          <t>Typical; 105–120 GPa</t>
        </is>
      </c>
    </row>
    <row r="103" ht="16" customHeight="1">
      <c r="A103" s="3" t="inlineStr">
        <is>
          <t>ρ_steel</t>
        </is>
      </c>
      <c r="B103" s="4" t="inlineStr">
        <is>
          <t>Density of structural steel</t>
        </is>
      </c>
      <c r="C103" s="5" t="n">
        <v>7850</v>
      </c>
      <c r="D103" s="4" t="inlineStr">
        <is>
          <t>approx.</t>
        </is>
      </c>
      <c r="E103" s="4" t="inlineStr">
        <is>
          <t>kg·m⁻³</t>
        </is>
      </c>
      <c r="F103" s="4" t="inlineStr">
        <is>
          <t>kg·m⁻³</t>
        </is>
      </c>
      <c r="G103" s="4" t="inlineStr">
        <is>
          <t>M L⁻³</t>
        </is>
      </c>
      <c r="H103" s="4" t="inlineStr">
        <is>
          <t>Engineering</t>
        </is>
      </c>
      <c r="I103" s="6" t="inlineStr">
        <is>
          <t>N</t>
        </is>
      </c>
      <c r="J103" s="4" t="inlineStr">
        <is>
          <t>—</t>
        </is>
      </c>
      <c r="K103" s="4" t="inlineStr">
        <is>
          <t>Typical carbon steel; ASTM</t>
        </is>
      </c>
    </row>
    <row r="104" ht="16" customHeight="1">
      <c r="A104" s="7" t="inlineStr">
        <is>
          <t>ρ_Al</t>
        </is>
      </c>
      <c r="B104" s="8" t="inlineStr">
        <is>
          <t>Density of aluminium (1100 alloy)</t>
        </is>
      </c>
      <c r="C104" s="9" t="n">
        <v>2710</v>
      </c>
      <c r="D104" s="8" t="inlineStr">
        <is>
          <t>approx.</t>
        </is>
      </c>
      <c r="E104" s="8" t="inlineStr">
        <is>
          <t>kg·m⁻³</t>
        </is>
      </c>
      <c r="F104" s="8" t="inlineStr">
        <is>
          <t>kg·m⁻³</t>
        </is>
      </c>
      <c r="G104" s="8" t="inlineStr">
        <is>
          <t>M L⁻³</t>
        </is>
      </c>
      <c r="H104" s="8" t="inlineStr">
        <is>
          <t>Engineering</t>
        </is>
      </c>
      <c r="I104" s="10" t="inlineStr">
        <is>
          <t>N</t>
        </is>
      </c>
      <c r="J104" s="8" t="inlineStr">
        <is>
          <t>—</t>
        </is>
      </c>
      <c r="K104" s="8" t="inlineStr"/>
    </row>
    <row r="105" ht="16" customHeight="1">
      <c r="A105" s="3" t="inlineStr">
        <is>
          <t>ρ_Cu</t>
        </is>
      </c>
      <c r="B105" s="4" t="inlineStr">
        <is>
          <t>Density of copper</t>
        </is>
      </c>
      <c r="C105" s="5" t="n">
        <v>8940</v>
      </c>
      <c r="D105" s="4" t="inlineStr">
        <is>
          <t>approx.</t>
        </is>
      </c>
      <c r="E105" s="4" t="inlineStr">
        <is>
          <t>kg·m⁻³</t>
        </is>
      </c>
      <c r="F105" s="4" t="inlineStr">
        <is>
          <t>kg·m⁻³</t>
        </is>
      </c>
      <c r="G105" s="4" t="inlineStr">
        <is>
          <t>M L⁻³</t>
        </is>
      </c>
      <c r="H105" s="4" t="inlineStr">
        <is>
          <t>Engineering</t>
        </is>
      </c>
      <c r="I105" s="6" t="inlineStr">
        <is>
          <t>N</t>
        </is>
      </c>
      <c r="J105" s="4" t="inlineStr">
        <is>
          <t>—</t>
        </is>
      </c>
      <c r="K105" s="4" t="inlineStr">
        <is>
          <t>OFHC copper; 8930–8960 kg/m³</t>
        </is>
      </c>
    </row>
    <row r="106" ht="16" customHeight="1">
      <c r="A106" s="7" t="inlineStr">
        <is>
          <t>ρ_concrete</t>
        </is>
      </c>
      <c r="B106" s="8" t="inlineStr">
        <is>
          <t>Density of normal concrete</t>
        </is>
      </c>
      <c r="C106" s="9" t="n">
        <v>2400</v>
      </c>
      <c r="D106" s="8" t="inlineStr">
        <is>
          <t>approx.</t>
        </is>
      </c>
      <c r="E106" s="8" t="inlineStr">
        <is>
          <t>kg·m⁻³</t>
        </is>
      </c>
      <c r="F106" s="8" t="inlineStr">
        <is>
          <t>kg·m⁻³</t>
        </is>
      </c>
      <c r="G106" s="8" t="inlineStr">
        <is>
          <t>M L⁻³</t>
        </is>
      </c>
      <c r="H106" s="8" t="inlineStr">
        <is>
          <t>Engineering</t>
        </is>
      </c>
      <c r="I106" s="10" t="inlineStr">
        <is>
          <t>N</t>
        </is>
      </c>
      <c r="J106" s="8" t="inlineStr">
        <is>
          <t>—</t>
        </is>
      </c>
      <c r="K106" s="8" t="inlineStr">
        <is>
          <t>Normal weight; ACI</t>
        </is>
      </c>
    </row>
    <row r="107" ht="16" customHeight="1">
      <c r="A107" s="3" t="inlineStr">
        <is>
          <t>k_steel</t>
        </is>
      </c>
      <c r="B107" s="4" t="inlineStr">
        <is>
          <t>Thermal conductivity of structural steel</t>
        </is>
      </c>
      <c r="C107" s="5" t="n">
        <v>50</v>
      </c>
      <c r="D107" s="4" t="inlineStr">
        <is>
          <t>approx.</t>
        </is>
      </c>
      <c r="E107" s="4" t="inlineStr">
        <is>
          <t>W·m⁻¹·K⁻¹</t>
        </is>
      </c>
      <c r="F107" s="4" t="inlineStr">
        <is>
          <t>kg·m·s⁻³·K⁻¹</t>
        </is>
      </c>
      <c r="G107" s="4" t="inlineStr">
        <is>
          <t>M L T⁻³ Th⁻¹</t>
        </is>
      </c>
      <c r="H107" s="4" t="inlineStr">
        <is>
          <t>Engineering</t>
        </is>
      </c>
      <c r="I107" s="6" t="inlineStr">
        <is>
          <t>N</t>
        </is>
      </c>
      <c r="J107" s="4" t="inlineStr">
        <is>
          <t>—</t>
        </is>
      </c>
      <c r="K107" s="4" t="inlineStr">
        <is>
          <t>Typical carbon steel; 45–65 W/(m·K)</t>
        </is>
      </c>
    </row>
    <row r="108" ht="16" customHeight="1">
      <c r="A108" s="7" t="inlineStr">
        <is>
          <t>k_Al</t>
        </is>
      </c>
      <c r="B108" s="8" t="inlineStr">
        <is>
          <t>Thermal conductivity of aluminium</t>
        </is>
      </c>
      <c r="C108" s="9" t="n">
        <v>237</v>
      </c>
      <c r="D108" s="8" t="inlineStr">
        <is>
          <t>approx.</t>
        </is>
      </c>
      <c r="E108" s="8" t="inlineStr">
        <is>
          <t>W·m⁻¹·K⁻¹</t>
        </is>
      </c>
      <c r="F108" s="8" t="inlineStr">
        <is>
          <t>kg·m·s⁻³·K⁻¹</t>
        </is>
      </c>
      <c r="G108" s="8" t="inlineStr">
        <is>
          <t>M L T⁻³ Th⁻¹</t>
        </is>
      </c>
      <c r="H108" s="8" t="inlineStr">
        <is>
          <t>Engineering</t>
        </is>
      </c>
      <c r="I108" s="10" t="inlineStr">
        <is>
          <t>N</t>
        </is>
      </c>
      <c r="J108" s="8" t="inlineStr">
        <is>
          <t>—</t>
        </is>
      </c>
      <c r="K108" s="8" t="inlineStr">
        <is>
          <t>1100 alloy at 25°C</t>
        </is>
      </c>
    </row>
    <row r="109" ht="16" customHeight="1">
      <c r="A109" s="3" t="inlineStr">
        <is>
          <t>k_Cu</t>
        </is>
      </c>
      <c r="B109" s="4" t="inlineStr">
        <is>
          <t>Thermal conductivity of copper</t>
        </is>
      </c>
      <c r="C109" s="5" t="n">
        <v>401</v>
      </c>
      <c r="D109" s="4" t="inlineStr">
        <is>
          <t>approx.</t>
        </is>
      </c>
      <c r="E109" s="4" t="inlineStr">
        <is>
          <t>W·m⁻¹·K⁻¹</t>
        </is>
      </c>
      <c r="F109" s="4" t="inlineStr">
        <is>
          <t>kg·m·s⁻³·K⁻¹</t>
        </is>
      </c>
      <c r="G109" s="4" t="inlineStr">
        <is>
          <t>M L T⁻³ Th⁻¹</t>
        </is>
      </c>
      <c r="H109" s="4" t="inlineStr">
        <is>
          <t>Engineering</t>
        </is>
      </c>
      <c r="I109" s="6" t="inlineStr">
        <is>
          <t>N</t>
        </is>
      </c>
      <c r="J109" s="4" t="inlineStr">
        <is>
          <t>—</t>
        </is>
      </c>
      <c r="K109" s="4" t="inlineStr">
        <is>
          <t>Pure copper at 25°C</t>
        </is>
      </c>
    </row>
    <row r="110" ht="16" customHeight="1">
      <c r="A110" s="7" t="inlineStr">
        <is>
          <t>k_air</t>
        </is>
      </c>
      <c r="B110" s="8" t="inlineStr">
        <is>
          <t>Thermal conductivity of dry air (25°C)</t>
        </is>
      </c>
      <c r="C110" s="9" t="n">
        <v>0.02551</v>
      </c>
      <c r="D110" s="8" t="inlineStr">
        <is>
          <t>approx.</t>
        </is>
      </c>
      <c r="E110" s="8" t="inlineStr">
        <is>
          <t>W·m⁻¹·K⁻¹</t>
        </is>
      </c>
      <c r="F110" s="8" t="inlineStr">
        <is>
          <t>kg·m·s⁻³·K⁻¹</t>
        </is>
      </c>
      <c r="G110" s="8" t="inlineStr">
        <is>
          <t>M L T⁻³ Th⁻¹</t>
        </is>
      </c>
      <c r="H110" s="8" t="inlineStr">
        <is>
          <t>Engineering</t>
        </is>
      </c>
      <c r="I110" s="10" t="inlineStr">
        <is>
          <t>N</t>
        </is>
      </c>
      <c r="J110" s="8" t="inlineStr">
        <is>
          <t>—</t>
        </is>
      </c>
      <c r="K110" s="8" t="inlineStr">
        <is>
          <t>At 25°C, 1 atm; NIST Webbook</t>
        </is>
      </c>
    </row>
    <row r="111" ht="16" customHeight="1">
      <c r="A111" s="3" t="inlineStr">
        <is>
          <t>v_sound</t>
        </is>
      </c>
      <c r="B111" s="4" t="inlineStr">
        <is>
          <t>Speed of sound in dry air (20°C, 1 atm)</t>
        </is>
      </c>
      <c r="C111" s="5" t="n">
        <v>343.2</v>
      </c>
      <c r="D111" s="4" t="inlineStr">
        <is>
          <t>approx.</t>
        </is>
      </c>
      <c r="E111" s="4" t="inlineStr">
        <is>
          <t>m·s⁻¹</t>
        </is>
      </c>
      <c r="F111" s="4" t="inlineStr">
        <is>
          <t>m·s⁻¹</t>
        </is>
      </c>
      <c r="G111" s="4" t="inlineStr">
        <is>
          <t>L T⁻¹</t>
        </is>
      </c>
      <c r="H111" s="4" t="inlineStr">
        <is>
          <t>Engineering</t>
        </is>
      </c>
      <c r="I111" s="6" t="inlineStr">
        <is>
          <t>N</t>
        </is>
      </c>
      <c r="J111" s="4" t="inlineStr">
        <is>
          <t>—</t>
        </is>
      </c>
      <c r="K111" s="4" t="inlineStr">
        <is>
          <t>v = √(γRT/M_air); 343.2 m/s at 20°C</t>
        </is>
      </c>
    </row>
    <row r="112" ht="16" customHeight="1">
      <c r="A112" s="7" t="inlineStr">
        <is>
          <t>v_sound_water</t>
        </is>
      </c>
      <c r="B112" s="8" t="inlineStr">
        <is>
          <t>Speed of sound in liquid water (25°C)</t>
        </is>
      </c>
      <c r="C112" s="9" t="n">
        <v>1497</v>
      </c>
      <c r="D112" s="8" t="inlineStr">
        <is>
          <t>approx.</t>
        </is>
      </c>
      <c r="E112" s="8" t="inlineStr">
        <is>
          <t>m·s⁻¹</t>
        </is>
      </c>
      <c r="F112" s="8" t="inlineStr">
        <is>
          <t>m·s⁻¹</t>
        </is>
      </c>
      <c r="G112" s="8" t="inlineStr">
        <is>
          <t>L T⁻¹</t>
        </is>
      </c>
      <c r="H112" s="8" t="inlineStr">
        <is>
          <t>Engineering</t>
        </is>
      </c>
      <c r="I112" s="10" t="inlineStr">
        <is>
          <t>N</t>
        </is>
      </c>
      <c r="J112" s="8" t="inlineStr">
        <is>
          <t>—</t>
        </is>
      </c>
      <c r="K112" s="8" t="inlineStr">
        <is>
          <t>At 25°C, 1 atm; varies strongly with T</t>
        </is>
      </c>
    </row>
    <row r="113" ht="18" customHeight="1">
      <c r="A113" s="2" t="inlineStr">
        <is>
          <t>CHEMICAL ENGINEERING CONSTANTS</t>
        </is>
      </c>
    </row>
    <row r="114" ht="16" customHeight="1">
      <c r="A114" s="3" t="inlineStr">
        <is>
          <t>R_chem</t>
        </is>
      </c>
      <c r="B114" s="4" t="inlineStr">
        <is>
          <t>Universal gas constant (ChE notation)</t>
        </is>
      </c>
      <c r="C114" s="5" t="n">
        <v>8.314462618</v>
      </c>
      <c r="D114" s="4" t="inlineStr">
        <is>
          <t>exact</t>
        </is>
      </c>
      <c r="E114" s="4" t="inlineStr">
        <is>
          <t>J·mol⁻¹·K⁻¹</t>
        </is>
      </c>
      <c r="F114" s="4" t="inlineStr">
        <is>
          <t>kg·m²·s⁻²·mol⁻¹·K⁻¹</t>
        </is>
      </c>
      <c r="G114" s="4" t="inlineStr">
        <is>
          <t>M L² T⁻² N⁻¹ Th⁻¹</t>
        </is>
      </c>
      <c r="H114" s="4" t="inlineStr">
        <is>
          <t>Chemical engineering</t>
        </is>
      </c>
      <c r="I114" s="6" t="inlineStr">
        <is>
          <t>Y</t>
        </is>
      </c>
      <c r="J114" s="4" t="inlineStr">
        <is>
          <t>8.314 462 618</t>
        </is>
      </c>
      <c r="K114" s="4" t="inlineStr">
        <is>
          <t>Same as R; alias used in ChE thermodynamics</t>
        </is>
      </c>
    </row>
    <row r="115" ht="16" customHeight="1">
      <c r="A115" s="7" t="inlineStr">
        <is>
          <t>R_psi</t>
        </is>
      </c>
      <c r="B115" s="8" t="inlineStr">
        <is>
          <t>Gas constant in psi·ft³ units</t>
        </is>
      </c>
      <c r="C115" s="9" t="n">
        <v>10.7316</v>
      </c>
      <c r="D115" s="8" t="inlineStr">
        <is>
          <t>derived</t>
        </is>
      </c>
      <c r="E115" s="8" t="inlineStr">
        <is>
          <t>psi·ft³·lbmol⁻¹·°R⁻¹</t>
        </is>
      </c>
      <c r="F115" s="8" t="inlineStr">
        <is>
          <t>—</t>
        </is>
      </c>
      <c r="G115" s="8" t="inlineStr">
        <is>
          <t>M L² T⁻² N⁻¹ Th⁻¹</t>
        </is>
      </c>
      <c r="H115" s="8" t="inlineStr">
        <is>
          <t>Chemical engineering</t>
        </is>
      </c>
      <c r="I115" s="10" t="inlineStr">
        <is>
          <t>N</t>
        </is>
      </c>
      <c r="J115" s="8" t="inlineStr">
        <is>
          <t>—</t>
        </is>
      </c>
      <c r="K115" s="8" t="inlineStr">
        <is>
          <t>R = 8.314 / (6894.757 × 0.028317 × 453.59 × 5/9)⁻¹</t>
        </is>
      </c>
    </row>
    <row r="116" ht="16" customHeight="1">
      <c r="A116" s="3" t="inlineStr">
        <is>
          <t>R_atm</t>
        </is>
      </c>
      <c r="B116" s="4" t="inlineStr">
        <is>
          <t>Gas constant in atm·L units</t>
        </is>
      </c>
      <c r="C116" s="5" t="n">
        <v>0.08205736608096</v>
      </c>
      <c r="D116" s="4" t="inlineStr">
        <is>
          <t>exact</t>
        </is>
      </c>
      <c r="E116" s="4" t="inlineStr">
        <is>
          <t>atm·L·mol⁻¹·K⁻¹</t>
        </is>
      </c>
      <c r="F116" s="4" t="inlineStr">
        <is>
          <t>—</t>
        </is>
      </c>
      <c r="G116" s="4" t="inlineStr">
        <is>
          <t>M L² T⁻² N⁻¹ Th⁻¹</t>
        </is>
      </c>
      <c r="H116" s="4" t="inlineStr">
        <is>
          <t>Chemical engineering</t>
        </is>
      </c>
      <c r="I116" s="6" t="inlineStr">
        <is>
          <t>Y</t>
        </is>
      </c>
      <c r="J116" s="4" t="inlineStr">
        <is>
          <t>0.082 057 366 080 96</t>
        </is>
      </c>
      <c r="K116" s="4" t="inlineStr">
        <is>
          <t>R/101325/0.001; exact</t>
        </is>
      </c>
    </row>
    <row r="117" ht="16" customHeight="1">
      <c r="A117" s="7" t="inlineStr">
        <is>
          <t>R_bar</t>
        </is>
      </c>
      <c r="B117" s="8" t="inlineStr">
        <is>
          <t>Gas constant in bar·L units</t>
        </is>
      </c>
      <c r="C117" s="9" t="n">
        <v>0.083144626181532</v>
      </c>
      <c r="D117" s="8" t="inlineStr">
        <is>
          <t>exact</t>
        </is>
      </c>
      <c r="E117" s="8" t="inlineStr">
        <is>
          <t>bar·L·mol⁻¹·K⁻¹</t>
        </is>
      </c>
      <c r="F117" s="8" t="inlineStr">
        <is>
          <t>—</t>
        </is>
      </c>
      <c r="G117" s="8" t="inlineStr">
        <is>
          <t>M L² T⁻² N⁻¹ Th⁻¹</t>
        </is>
      </c>
      <c r="H117" s="8" t="inlineStr">
        <is>
          <t>Chemical engineering</t>
        </is>
      </c>
      <c r="I117" s="10" t="inlineStr">
        <is>
          <t>Y</t>
        </is>
      </c>
      <c r="J117" s="8" t="inlineStr">
        <is>
          <t>0.083 144 626 181 532</t>
        </is>
      </c>
      <c r="K117" s="8" t="inlineStr">
        <is>
          <t>R/100000/0.001; exact</t>
        </is>
      </c>
    </row>
    <row r="118" ht="16" customHeight="1">
      <c r="A118" s="3" t="inlineStr">
        <is>
          <t>R_mmHg</t>
        </is>
      </c>
      <c r="B118" s="4" t="inlineStr">
        <is>
          <t>Gas constant in mmHg·L units</t>
        </is>
      </c>
      <c r="C118" s="5" t="n">
        <v>62.36367</v>
      </c>
      <c r="D118" s="4" t="inlineStr">
        <is>
          <t>derived</t>
        </is>
      </c>
      <c r="E118" s="4" t="inlineStr">
        <is>
          <t>mmHg·L·mol⁻¹·K⁻¹</t>
        </is>
      </c>
      <c r="F118" s="4" t="inlineStr">
        <is>
          <t>—</t>
        </is>
      </c>
      <c r="G118" s="4" t="inlineStr">
        <is>
          <t>M L² T⁻² N⁻¹ Th⁻¹</t>
        </is>
      </c>
      <c r="H118" s="4" t="inlineStr">
        <is>
          <t>Chemical engineering</t>
        </is>
      </c>
      <c r="I118" s="6" t="inlineStr">
        <is>
          <t>N</t>
        </is>
      </c>
      <c r="J118" s="4" t="inlineStr">
        <is>
          <t>—</t>
        </is>
      </c>
      <c r="K118" s="4" t="inlineStr">
        <is>
          <t>R/133.322/0.001</t>
        </is>
      </c>
    </row>
    <row r="119" ht="16" customHeight="1">
      <c r="A119" s="7" t="inlineStr">
        <is>
          <t>ε_vac</t>
        </is>
      </c>
      <c r="B119" s="8" t="inlineStr">
        <is>
          <t>Permittivity of free space (electrochemistry)</t>
        </is>
      </c>
      <c r="C119" s="9" t="n">
        <v>8.854187812800001e-12</v>
      </c>
      <c r="D119" s="8" t="inlineStr">
        <is>
          <t>±0.0000000013 × 10⁻¹²</t>
        </is>
      </c>
      <c r="E119" s="8" t="inlineStr">
        <is>
          <t>F·m⁻¹</t>
        </is>
      </c>
      <c r="F119" s="8" t="inlineStr">
        <is>
          <t>kg⁻¹·m⁻³·s⁴·A²</t>
        </is>
      </c>
      <c r="G119" s="8" t="inlineStr">
        <is>
          <t>M⁻¹ L⁻³ T⁴ I²</t>
        </is>
      </c>
      <c r="H119" s="8" t="inlineStr">
        <is>
          <t>Chemical engineering</t>
        </is>
      </c>
      <c r="I119" s="10" t="inlineStr">
        <is>
          <t>N</t>
        </is>
      </c>
      <c r="J119" s="8" t="inlineStr">
        <is>
          <t>8.854 187 8128 × 10⁻¹²</t>
        </is>
      </c>
      <c r="K119" s="8" t="inlineStr">
        <is>
          <t>Same as ε₀; relevant for electrochemical calculations</t>
        </is>
      </c>
    </row>
    <row r="120" ht="16" customHeight="1">
      <c r="A120" s="3" t="inlineStr">
        <is>
          <t>N_L</t>
        </is>
      </c>
      <c r="B120" s="4" t="inlineStr">
        <is>
          <t>Loschmidt constant (STP)</t>
        </is>
      </c>
      <c r="C120" s="5" t="n">
        <v>2.6867774e+25</v>
      </c>
      <c r="D120" s="4" t="inlineStr">
        <is>
          <t>exact</t>
        </is>
      </c>
      <c r="E120" s="4" t="inlineStr">
        <is>
          <t>m⁻³</t>
        </is>
      </c>
      <c r="F120" s="4" t="inlineStr">
        <is>
          <t>m⁻³</t>
        </is>
      </c>
      <c r="G120" s="4" t="inlineStr">
        <is>
          <t>L⁻³</t>
        </is>
      </c>
      <c r="H120" s="4" t="inlineStr">
        <is>
          <t>Chemical engineering</t>
        </is>
      </c>
      <c r="I120" s="6" t="inlineStr">
        <is>
          <t>Y</t>
        </is>
      </c>
      <c r="J120" s="4" t="inlineStr">
        <is>
          <t>2.686 7774 × 10²⁵</t>
        </is>
      </c>
      <c r="K120" s="4" t="inlineStr">
        <is>
          <t>Number density of ideal gas at STP; exact post-2019</t>
        </is>
      </c>
    </row>
    <row r="121" ht="16" customHeight="1">
      <c r="A121" s="7" t="inlineStr">
        <is>
          <t>N_L_IUPAC</t>
        </is>
      </c>
      <c r="B121" s="8" t="inlineStr">
        <is>
          <t>Loschmidt constant (IUPAC STP, 100 kPa)</t>
        </is>
      </c>
      <c r="C121" s="9" t="n">
        <v>2.6516467e+25</v>
      </c>
      <c r="D121" s="8" t="inlineStr">
        <is>
          <t>exact</t>
        </is>
      </c>
      <c r="E121" s="8" t="inlineStr">
        <is>
          <t>m⁻³</t>
        </is>
      </c>
      <c r="F121" s="8" t="inlineStr">
        <is>
          <t>m⁻³</t>
        </is>
      </c>
      <c r="G121" s="8" t="inlineStr">
        <is>
          <t>L⁻³</t>
        </is>
      </c>
      <c r="H121" s="8" t="inlineStr">
        <is>
          <t>Chemical engineering</t>
        </is>
      </c>
      <c r="I121" s="10" t="inlineStr">
        <is>
          <t>Y</t>
        </is>
      </c>
      <c r="J121" s="8" t="inlineStr">
        <is>
          <t>2.651 6467 × 10²⁵</t>
        </is>
      </c>
      <c r="K121" s="8" t="inlineStr">
        <is>
          <t>At 0°C, 100 kPa; exact</t>
        </is>
      </c>
    </row>
    <row r="122" ht="18" customHeight="1">
      <c r="A122" s="2" t="inlineStr">
        <is>
          <t>NUCLEAR &amp; ENERGY CONSTANTS</t>
        </is>
      </c>
    </row>
    <row r="123" ht="16" customHeight="1">
      <c r="A123" s="3" t="inlineStr">
        <is>
          <t>E_fission</t>
        </is>
      </c>
      <c r="B123" s="4" t="inlineStr">
        <is>
          <t>Energy released per ²³⁵U fission (approx.)</t>
        </is>
      </c>
      <c r="C123" s="5" t="n">
        <v>3.2e-11</v>
      </c>
      <c r="D123" s="4" t="inlineStr">
        <is>
          <t>approx.</t>
        </is>
      </c>
      <c r="E123" s="4" t="inlineStr">
        <is>
          <t>J</t>
        </is>
      </c>
      <c r="F123" s="4" t="inlineStr">
        <is>
          <t>kg·m²·s⁻²</t>
        </is>
      </c>
      <c r="G123" s="4" t="inlineStr">
        <is>
          <t>M L² T⁻²</t>
        </is>
      </c>
      <c r="H123" s="4" t="inlineStr">
        <is>
          <t>Nuclear</t>
        </is>
      </c>
      <c r="I123" s="6" t="inlineStr">
        <is>
          <t>N</t>
        </is>
      </c>
      <c r="J123" s="4" t="inlineStr">
        <is>
          <t>—</t>
        </is>
      </c>
      <c r="K123" s="4" t="inlineStr">
        <is>
          <t>≈200 MeV; varies by fission products; engineering estimate</t>
        </is>
      </c>
    </row>
    <row r="124" ht="16" customHeight="1">
      <c r="A124" s="7" t="inlineStr">
        <is>
          <t>E_fusion</t>
        </is>
      </c>
      <c r="B124" s="8" t="inlineStr">
        <is>
          <t>Energy released per D-T fusion</t>
        </is>
      </c>
      <c r="C124" s="9" t="n">
        <v>2.818e-12</v>
      </c>
      <c r="D124" s="8" t="inlineStr">
        <is>
          <t>approx.</t>
        </is>
      </c>
      <c r="E124" s="8" t="inlineStr">
        <is>
          <t>J</t>
        </is>
      </c>
      <c r="F124" s="8" t="inlineStr">
        <is>
          <t>kg·m²·s⁻²</t>
        </is>
      </c>
      <c r="G124" s="8" t="inlineStr">
        <is>
          <t>M L² T⁻²</t>
        </is>
      </c>
      <c r="H124" s="8" t="inlineStr">
        <is>
          <t>Nuclear</t>
        </is>
      </c>
      <c r="I124" s="10" t="inlineStr">
        <is>
          <t>N</t>
        </is>
      </c>
      <c r="J124" s="8" t="inlineStr">
        <is>
          <t>—</t>
        </is>
      </c>
      <c r="K124" s="8" t="inlineStr">
        <is>
          <t>≈17.6 MeV per D-T reaction</t>
        </is>
      </c>
    </row>
    <row r="125" ht="16" customHeight="1">
      <c r="A125" s="3" t="inlineStr">
        <is>
          <t>m_eV</t>
        </is>
      </c>
      <c r="B125" s="4" t="inlineStr">
        <is>
          <t>Electron-volt equivalent mass (E=mc²)</t>
        </is>
      </c>
      <c r="C125" s="5" t="n">
        <v>1.78266192e-36</v>
      </c>
      <c r="D125" s="4" t="inlineStr">
        <is>
          <t>exact</t>
        </is>
      </c>
      <c r="E125" s="4" t="inlineStr">
        <is>
          <t>kg</t>
        </is>
      </c>
      <c r="F125" s="4" t="inlineStr">
        <is>
          <t>kg</t>
        </is>
      </c>
      <c r="G125" s="4" t="inlineStr">
        <is>
          <t>M</t>
        </is>
      </c>
      <c r="H125" s="4" t="inlineStr">
        <is>
          <t>Nuclear</t>
        </is>
      </c>
      <c r="I125" s="6" t="inlineStr">
        <is>
          <t>Y</t>
        </is>
      </c>
      <c r="J125" s="4" t="inlineStr">
        <is>
          <t>1.782 661 92 × 10⁻³⁶</t>
        </is>
      </c>
      <c r="K125" s="4" t="inlineStr">
        <is>
          <t>1 eV / c² ; exact</t>
        </is>
      </c>
    </row>
    <row r="126" ht="16" customHeight="1">
      <c r="A126" s="7" t="inlineStr">
        <is>
          <t>E_rest_e</t>
        </is>
      </c>
      <c r="B126" s="8" t="inlineStr">
        <is>
          <t>Rest energy of electron</t>
        </is>
      </c>
      <c r="C126" s="9" t="n">
        <v>8.18710565e-14</v>
      </c>
      <c r="D126" s="8" t="inlineStr">
        <is>
          <t>exact</t>
        </is>
      </c>
      <c r="E126" s="8" t="inlineStr">
        <is>
          <t>J</t>
        </is>
      </c>
      <c r="F126" s="8" t="inlineStr">
        <is>
          <t>kg·m²·s⁻²</t>
        </is>
      </c>
      <c r="G126" s="8" t="inlineStr">
        <is>
          <t>M L² T⁻²</t>
        </is>
      </c>
      <c r="H126" s="8" t="inlineStr">
        <is>
          <t>Nuclear</t>
        </is>
      </c>
      <c r="I126" s="10" t="inlineStr">
        <is>
          <t>Y</t>
        </is>
      </c>
      <c r="J126" s="8" t="inlineStr">
        <is>
          <t>8.187 105 65 × 10⁻¹⁴</t>
        </is>
      </c>
      <c r="K126" s="8" t="inlineStr">
        <is>
          <t>m_e c² = 0.510 999 MeV; exact</t>
        </is>
      </c>
    </row>
    <row r="127" ht="16" customHeight="1">
      <c r="A127" s="3" t="inlineStr">
        <is>
          <t>E_rest_p</t>
        </is>
      </c>
      <c r="B127" s="4" t="inlineStr">
        <is>
          <t>Rest energy of proton</t>
        </is>
      </c>
      <c r="C127" s="5" t="n">
        <v>1.50327761779e-10</v>
      </c>
      <c r="D127" s="4" t="inlineStr">
        <is>
          <t>±0.00000000045 × 10⁻¹⁰</t>
        </is>
      </c>
      <c r="E127" s="4" t="inlineStr">
        <is>
          <t>J</t>
        </is>
      </c>
      <c r="F127" s="4" t="inlineStr">
        <is>
          <t>kg·m²·s⁻²</t>
        </is>
      </c>
      <c r="G127" s="4" t="inlineStr">
        <is>
          <t>M L² T⁻²</t>
        </is>
      </c>
      <c r="H127" s="4" t="inlineStr">
        <is>
          <t>Nuclear</t>
        </is>
      </c>
      <c r="I127" s="6" t="inlineStr">
        <is>
          <t>N</t>
        </is>
      </c>
      <c r="J127" s="4" t="inlineStr">
        <is>
          <t>1.503 277 617 79 × 10⁻¹⁰</t>
        </is>
      </c>
      <c r="K127" s="4" t="inlineStr">
        <is>
          <t>m_p c² = 938.272 MeV; CODATA 2018</t>
        </is>
      </c>
    </row>
    <row r="128" ht="18" customHeight="1">
      <c r="A128" s="2" t="inlineStr">
        <is>
          <t>MATHEMATICAL CONSTANTS (for dimensional analysis engine)</t>
        </is>
      </c>
    </row>
    <row r="129" ht="16" customHeight="1">
      <c r="A129" s="3" t="inlineStr">
        <is>
          <t>π</t>
        </is>
      </c>
      <c r="B129" s="4" t="inlineStr">
        <is>
          <t>Pi</t>
        </is>
      </c>
      <c r="C129" s="5" t="n">
        <v>3.141592653589793</v>
      </c>
      <c r="D129" s="4" t="inlineStr">
        <is>
          <t>exact</t>
        </is>
      </c>
      <c r="E129" s="4" t="inlineStr">
        <is>
          <t>dimensionless</t>
        </is>
      </c>
      <c r="F129" s="4" t="inlineStr">
        <is>
          <t>—</t>
        </is>
      </c>
      <c r="G129" s="4" t="inlineStr">
        <is>
          <t>dimensionless</t>
        </is>
      </c>
      <c r="H129" s="4" t="inlineStr">
        <is>
          <t>Mathematical</t>
        </is>
      </c>
      <c r="I129" s="6" t="inlineStr">
        <is>
          <t>Y</t>
        </is>
      </c>
      <c r="J129" s="4" t="inlineStr">
        <is>
          <t>3.141 592 653 589 793</t>
        </is>
      </c>
      <c r="K129" s="4" t="inlineStr">
        <is>
          <t>Ratio of circumference to diameter</t>
        </is>
      </c>
    </row>
    <row r="130" ht="16" customHeight="1">
      <c r="A130" s="7" t="inlineStr">
        <is>
          <t>e_euler</t>
        </is>
      </c>
      <c r="B130" s="8" t="inlineStr">
        <is>
          <t>Euler's number</t>
        </is>
      </c>
      <c r="C130" s="9" t="n">
        <v>2.718281828459045</v>
      </c>
      <c r="D130" s="8" t="inlineStr">
        <is>
          <t>exact</t>
        </is>
      </c>
      <c r="E130" s="8" t="inlineStr">
        <is>
          <t>dimensionless</t>
        </is>
      </c>
      <c r="F130" s="8" t="inlineStr">
        <is>
          <t>—</t>
        </is>
      </c>
      <c r="G130" s="8" t="inlineStr">
        <is>
          <t>dimensionless</t>
        </is>
      </c>
      <c r="H130" s="8" t="inlineStr">
        <is>
          <t>Mathematical</t>
        </is>
      </c>
      <c r="I130" s="10" t="inlineStr">
        <is>
          <t>Y</t>
        </is>
      </c>
      <c r="J130" s="8" t="inlineStr">
        <is>
          <t>2.718 281 828 459 045</t>
        </is>
      </c>
      <c r="K130" s="8" t="inlineStr">
        <is>
          <t>Base of natural logarithm</t>
        </is>
      </c>
    </row>
    <row r="131" ht="16" customHeight="1">
      <c r="A131" s="3" t="inlineStr">
        <is>
          <t>ln2</t>
        </is>
      </c>
      <c r="B131" s="4" t="inlineStr">
        <is>
          <t>Natural logarithm of 2</t>
        </is>
      </c>
      <c r="C131" s="5" t="n">
        <v>0.6931471805599453</v>
      </c>
      <c r="D131" s="4" t="inlineStr">
        <is>
          <t>exact</t>
        </is>
      </c>
      <c r="E131" s="4" t="inlineStr">
        <is>
          <t>dimensionless</t>
        </is>
      </c>
      <c r="F131" s="4" t="inlineStr">
        <is>
          <t>—</t>
        </is>
      </c>
      <c r="G131" s="4" t="inlineStr">
        <is>
          <t>dimensionless</t>
        </is>
      </c>
      <c r="H131" s="4" t="inlineStr">
        <is>
          <t>Mathematical</t>
        </is>
      </c>
      <c r="I131" s="6" t="inlineStr">
        <is>
          <t>Y</t>
        </is>
      </c>
      <c r="J131" s="4" t="inlineStr">
        <is>
          <t>0.693 147 180 559 945</t>
        </is>
      </c>
      <c r="K131" s="4" t="inlineStr">
        <is>
          <t>Used in half-life calculations: t½ = ln2 / λ</t>
        </is>
      </c>
    </row>
    <row r="132" ht="16" customHeight="1">
      <c r="A132" s="7" t="inlineStr">
        <is>
          <t>log10_e</t>
        </is>
      </c>
      <c r="B132" s="8" t="inlineStr">
        <is>
          <t>log₁₀(e)</t>
        </is>
      </c>
      <c r="C132" s="9" t="n">
        <v>0.4342944819032518</v>
      </c>
      <c r="D132" s="8" t="inlineStr">
        <is>
          <t>exact</t>
        </is>
      </c>
      <c r="E132" s="8" t="inlineStr">
        <is>
          <t>dimensionless</t>
        </is>
      </c>
      <c r="F132" s="8" t="inlineStr">
        <is>
          <t>—</t>
        </is>
      </c>
      <c r="G132" s="8" t="inlineStr">
        <is>
          <t>dimensionless</t>
        </is>
      </c>
      <c r="H132" s="8" t="inlineStr">
        <is>
          <t>Mathematical</t>
        </is>
      </c>
      <c r="I132" s="10" t="inlineStr">
        <is>
          <t>Y</t>
        </is>
      </c>
      <c r="J132" s="8" t="inlineStr">
        <is>
          <t>0.434 294 481 903 252</t>
        </is>
      </c>
      <c r="K132" s="8" t="inlineStr">
        <is>
          <t>Conversion factor between ln and log₁₀</t>
        </is>
      </c>
    </row>
    <row r="133" ht="16" customHeight="1">
      <c r="A133" s="3" t="inlineStr">
        <is>
          <t>sqrt2</t>
        </is>
      </c>
      <c r="B133" s="4" t="inlineStr">
        <is>
          <t>Square root of 2</t>
        </is>
      </c>
      <c r="C133" s="5" t="n">
        <v>1.414213562373095</v>
      </c>
      <c r="D133" s="4" t="inlineStr">
        <is>
          <t>exact</t>
        </is>
      </c>
      <c r="E133" s="4" t="inlineStr">
        <is>
          <t>dimensionless</t>
        </is>
      </c>
      <c r="F133" s="4" t="inlineStr">
        <is>
          <t>—</t>
        </is>
      </c>
      <c r="G133" s="4" t="inlineStr">
        <is>
          <t>dimensionless</t>
        </is>
      </c>
      <c r="H133" s="4" t="inlineStr">
        <is>
          <t>Mathematical</t>
        </is>
      </c>
      <c r="I133" s="6" t="inlineStr">
        <is>
          <t>Y</t>
        </is>
      </c>
      <c r="J133" s="4" t="inlineStr">
        <is>
          <t>1.414 213 562 373 095</t>
        </is>
      </c>
      <c r="K133" s="4" t="inlineStr"/>
    </row>
    <row r="134" ht="16" customHeight="1">
      <c r="A134" s="7" t="inlineStr">
        <is>
          <t>phi</t>
        </is>
      </c>
      <c r="B134" s="8" t="inlineStr">
        <is>
          <t>Golden ratio</t>
        </is>
      </c>
      <c r="C134" s="9" t="n">
        <v>1.618033988749895</v>
      </c>
      <c r="D134" s="8" t="inlineStr">
        <is>
          <t>exact</t>
        </is>
      </c>
      <c r="E134" s="8" t="inlineStr">
        <is>
          <t>dimensionless</t>
        </is>
      </c>
      <c r="F134" s="8" t="inlineStr">
        <is>
          <t>—</t>
        </is>
      </c>
      <c r="G134" s="8" t="inlineStr">
        <is>
          <t>dimensionless</t>
        </is>
      </c>
      <c r="H134" s="8" t="inlineStr">
        <is>
          <t>Mathematical</t>
        </is>
      </c>
      <c r="I134" s="10" t="inlineStr">
        <is>
          <t>Y</t>
        </is>
      </c>
      <c r="J134" s="8" t="inlineStr">
        <is>
          <t>1.618 033 988 749 895</t>
        </is>
      </c>
      <c r="K134" s="8" t="inlineStr">
        <is>
          <t>(1+√5)/2</t>
        </is>
      </c>
    </row>
  </sheetData>
  <mergeCells count="11">
    <mergeCell ref="A122:K122"/>
    <mergeCell ref="A83:K83"/>
    <mergeCell ref="A57:K57"/>
    <mergeCell ref="A24:K24"/>
    <mergeCell ref="A2:K2"/>
    <mergeCell ref="A113:K113"/>
    <mergeCell ref="A128:K128"/>
    <mergeCell ref="A98:K98"/>
    <mergeCell ref="A14:K14"/>
    <mergeCell ref="A44:K44"/>
    <mergeCell ref="A70:K7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22" customWidth="1" min="3" max="3"/>
    <col width="20" customWidth="1" min="4" max="4"/>
    <col width="22" customWidth="1" min="5" max="5"/>
    <col width="7" customWidth="1" min="6" max="6"/>
    <col width="55" customWidth="1" min="7" max="7"/>
  </cols>
  <sheetData>
    <row r="1" ht="28" customHeight="1">
      <c r="A1" s="1" t="inlineStr">
        <is>
          <t>symbol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unit_symbol</t>
        </is>
      </c>
      <c r="E1" s="1" t="inlineStr">
        <is>
          <t>category</t>
        </is>
      </c>
      <c r="F1" s="1" t="inlineStr">
        <is>
          <t>exact</t>
        </is>
      </c>
      <c r="G1" s="1" t="inlineStr">
        <is>
          <t>notes</t>
        </is>
      </c>
    </row>
    <row r="2">
      <c r="A2" s="11" t="inlineStr">
        <is>
          <t>c</t>
        </is>
      </c>
      <c r="B2" s="4" t="inlineStr">
        <is>
          <t>Speed of light in vacuum</t>
        </is>
      </c>
      <c r="C2" s="5" t="n">
        <v>299792458</v>
      </c>
      <c r="D2" s="4" t="inlineStr">
        <is>
          <t>m/s</t>
        </is>
      </c>
      <c r="E2" s="4" t="inlineStr">
        <is>
          <t>Universal</t>
        </is>
      </c>
      <c r="F2" s="6" t="inlineStr">
        <is>
          <t>Y</t>
        </is>
      </c>
      <c r="G2" s="4" t="inlineStr">
        <is>
          <t>Exact by SI 2019 definition; NIST CODATA 2018</t>
        </is>
      </c>
    </row>
    <row r="3">
      <c r="A3" s="12" t="inlineStr">
        <is>
          <t>h</t>
        </is>
      </c>
      <c r="B3" s="8" t="inlineStr">
        <is>
          <t>Planck constant</t>
        </is>
      </c>
      <c r="C3" s="9" t="n">
        <v>6.62607015e-34</v>
      </c>
      <c r="D3" s="8" t="inlineStr">
        <is>
          <t>J·s</t>
        </is>
      </c>
      <c r="E3" s="8" t="inlineStr">
        <is>
          <t>Universal</t>
        </is>
      </c>
      <c r="F3" s="10" t="inlineStr">
        <is>
          <t>Y</t>
        </is>
      </c>
      <c r="G3" s="8" t="inlineStr">
        <is>
          <t>Exact by SI 2019; defines kg</t>
        </is>
      </c>
    </row>
    <row r="4">
      <c r="A4" s="11" t="inlineStr">
        <is>
          <t>ħ</t>
        </is>
      </c>
      <c r="B4" s="4" t="inlineStr">
        <is>
          <t>Reduced Planck constant (h-bar)</t>
        </is>
      </c>
      <c r="C4" s="5" t="n">
        <v>1.054571817e-34</v>
      </c>
      <c r="D4" s="4" t="inlineStr">
        <is>
          <t>J·s</t>
        </is>
      </c>
      <c r="E4" s="4" t="inlineStr">
        <is>
          <t>Universal</t>
        </is>
      </c>
      <c r="F4" s="6" t="inlineStr">
        <is>
          <t>Y</t>
        </is>
      </c>
      <c r="G4" s="4" t="inlineStr">
        <is>
          <t>ħ = h/(2π); exact</t>
        </is>
      </c>
    </row>
    <row r="5">
      <c r="A5" s="12" t="inlineStr">
        <is>
          <t>G</t>
        </is>
      </c>
      <c r="B5" s="8" t="inlineStr">
        <is>
          <t>Newtonian constant of gravitation</t>
        </is>
      </c>
      <c r="C5" s="9" t="n">
        <v>6.674299999999999e-11</v>
      </c>
      <c r="D5" s="8" t="inlineStr">
        <is>
          <t>m³·kg⁻¹·s⁻²</t>
        </is>
      </c>
      <c r="E5" s="8" t="inlineStr">
        <is>
          <t>Universal</t>
        </is>
      </c>
      <c r="F5" s="10" t="inlineStr">
        <is>
          <t>N</t>
        </is>
      </c>
      <c r="G5" s="8" t="inlineStr">
        <is>
          <t>NIST CODATA 2018; relative std. uncert. 2.2 × 10⁻⁵</t>
        </is>
      </c>
    </row>
    <row r="6">
      <c r="A6" s="11" t="inlineStr">
        <is>
          <t>μ₀</t>
        </is>
      </c>
      <c r="B6" s="4" t="inlineStr">
        <is>
          <t>Vacuum magnetic permeability</t>
        </is>
      </c>
      <c r="C6" s="5" t="n">
        <v>1.25663706212e-06</v>
      </c>
      <c r="D6" s="4" t="inlineStr">
        <is>
          <t>N·A⁻²</t>
        </is>
      </c>
      <c r="E6" s="4" t="inlineStr">
        <is>
          <t>Universal</t>
        </is>
      </c>
      <c r="F6" s="6" t="inlineStr">
        <is>
          <t>N</t>
        </is>
      </c>
      <c r="G6" s="4" t="inlineStr">
        <is>
          <t>No longer exact post-2019 SI; CODATA 2018</t>
        </is>
      </c>
    </row>
    <row r="7">
      <c r="A7" s="12" t="inlineStr">
        <is>
          <t>ε₀</t>
        </is>
      </c>
      <c r="B7" s="8" t="inlineStr">
        <is>
          <t>Vacuum electric permittivity</t>
        </is>
      </c>
      <c r="C7" s="9" t="n">
        <v>8.854187812800001e-12</v>
      </c>
      <c r="D7" s="8" t="inlineStr">
        <is>
          <t>F·m⁻¹</t>
        </is>
      </c>
      <c r="E7" s="8" t="inlineStr">
        <is>
          <t>Universal</t>
        </is>
      </c>
      <c r="F7" s="10" t="inlineStr">
        <is>
          <t>N</t>
        </is>
      </c>
      <c r="G7" s="8" t="inlineStr">
        <is>
          <t>ε₀ = 1/(μ₀c²); CODATA 2018</t>
        </is>
      </c>
    </row>
    <row r="8">
      <c r="A8" s="11" t="inlineStr">
        <is>
          <t>Z₀</t>
        </is>
      </c>
      <c r="B8" s="4" t="inlineStr">
        <is>
          <t>Characteristic impedance of vacuum</t>
        </is>
      </c>
      <c r="C8" s="5" t="n">
        <v>376.730313668</v>
      </c>
      <c r="D8" s="4" t="inlineStr">
        <is>
          <t>Ω</t>
        </is>
      </c>
      <c r="E8" s="4" t="inlineStr">
        <is>
          <t>Universal</t>
        </is>
      </c>
      <c r="F8" s="6" t="inlineStr">
        <is>
          <t>Y</t>
        </is>
      </c>
      <c r="G8" s="4" t="inlineStr">
        <is>
          <t>Z₀ = μ₀c; exact</t>
        </is>
      </c>
    </row>
    <row r="9">
      <c r="A9" s="12" t="inlineStr">
        <is>
          <t>σ_SB</t>
        </is>
      </c>
      <c r="B9" s="8" t="inlineStr">
        <is>
          <t>Stefan–Boltzmann constant</t>
        </is>
      </c>
      <c r="C9" s="9" t="n">
        <v>5.670374419e-08</v>
      </c>
      <c r="D9" s="8" t="inlineStr">
        <is>
          <t>W·m⁻²·K⁻⁴</t>
        </is>
      </c>
      <c r="E9" s="8" t="inlineStr">
        <is>
          <t>Universal</t>
        </is>
      </c>
      <c r="F9" s="10" t="inlineStr">
        <is>
          <t>Y</t>
        </is>
      </c>
      <c r="G9" s="8" t="inlineStr">
        <is>
          <t>σ = 2π⁵k_B⁴/(15h³c²); exact post-2019</t>
        </is>
      </c>
    </row>
    <row r="10">
      <c r="A10" s="11" t="inlineStr">
        <is>
          <t>a_rad</t>
        </is>
      </c>
      <c r="B10" s="4" t="inlineStr">
        <is>
          <t>Radiation constant (a = 4σ/c)</t>
        </is>
      </c>
      <c r="C10" s="5" t="n">
        <v>7.5657e-16</v>
      </c>
      <c r="D10" s="4" t="inlineStr">
        <is>
          <t>J·m⁻³·K⁻⁴</t>
        </is>
      </c>
      <c r="E10" s="4" t="inlineStr">
        <is>
          <t>Universal</t>
        </is>
      </c>
      <c r="F10" s="6" t="inlineStr">
        <is>
          <t>Y</t>
        </is>
      </c>
      <c r="G10" s="4" t="inlineStr">
        <is>
          <t>Radiation (energy density) constant; a = 4σ/c</t>
        </is>
      </c>
    </row>
    <row r="11">
      <c r="A11" s="12" t="inlineStr">
        <is>
          <t>b_wien</t>
        </is>
      </c>
      <c r="B11" s="8" t="inlineStr">
        <is>
          <t>Wien displacement law constant</t>
        </is>
      </c>
      <c r="C11" s="9" t="n">
        <v>0.002897771955</v>
      </c>
      <c r="D11" s="8" t="inlineStr">
        <is>
          <t>m·K</t>
        </is>
      </c>
      <c r="E11" s="8" t="inlineStr">
        <is>
          <t>Universal</t>
        </is>
      </c>
      <c r="F11" s="10" t="inlineStr">
        <is>
          <t>Y</t>
        </is>
      </c>
      <c r="G11" s="8" t="inlineStr">
        <is>
          <t>λ_max·T = b; exact post-2019 SI</t>
        </is>
      </c>
    </row>
    <row r="12">
      <c r="A12" s="11" t="inlineStr">
        <is>
          <t>b_wien_f</t>
        </is>
      </c>
      <c r="B12" s="4" t="inlineStr">
        <is>
          <t>Wien frequency displacement constant</t>
        </is>
      </c>
      <c r="C12" s="5" t="n">
        <v>58789257570</v>
      </c>
      <c r="D12" s="4" t="inlineStr">
        <is>
          <t>Hz·K⁻¹</t>
        </is>
      </c>
      <c r="E12" s="4" t="inlineStr">
        <is>
          <t>Universal</t>
        </is>
      </c>
      <c r="F12" s="6" t="inlineStr">
        <is>
          <t>Y</t>
        </is>
      </c>
      <c r="G12" s="4" t="inlineStr">
        <is>
          <t>ν_max/T = b'; exact</t>
        </is>
      </c>
    </row>
    <row r="13">
      <c r="A13" s="12" t="inlineStr">
        <is>
          <t>e</t>
        </is>
      </c>
      <c r="B13" s="8" t="inlineStr">
        <is>
          <t>Elementary charge</t>
        </is>
      </c>
      <c r="C13" s="9" t="n">
        <v>1.602176634e-19</v>
      </c>
      <c r="D13" s="8" t="inlineStr">
        <is>
          <t>C</t>
        </is>
      </c>
      <c r="E13" s="8" t="inlineStr">
        <is>
          <t>Electromagnetic</t>
        </is>
      </c>
      <c r="F13" s="10" t="inlineStr">
        <is>
          <t>Y</t>
        </is>
      </c>
      <c r="G13" s="8" t="inlineStr">
        <is>
          <t>Exact by SI 2019; defines ampere</t>
        </is>
      </c>
    </row>
    <row r="14">
      <c r="A14" s="11" t="inlineStr">
        <is>
          <t>Φ₀</t>
        </is>
      </c>
      <c r="B14" s="4" t="inlineStr">
        <is>
          <t>Magnetic flux quantum</t>
        </is>
      </c>
      <c r="C14" s="5" t="n">
        <v>2.067833848e-15</v>
      </c>
      <c r="D14" s="4" t="inlineStr">
        <is>
          <t>Wb</t>
        </is>
      </c>
      <c r="E14" s="4" t="inlineStr">
        <is>
          <t>Electromagnetic</t>
        </is>
      </c>
      <c r="F14" s="6" t="inlineStr">
        <is>
          <t>Y</t>
        </is>
      </c>
      <c r="G14" s="4" t="inlineStr">
        <is>
          <t>Φ₀ = h/(2e); exact</t>
        </is>
      </c>
    </row>
    <row r="15">
      <c r="A15" s="12" t="inlineStr">
        <is>
          <t>G₀</t>
        </is>
      </c>
      <c r="B15" s="8" t="inlineStr">
        <is>
          <t>Conductance quantum</t>
        </is>
      </c>
      <c r="C15" s="9" t="n">
        <v>7.748091729e-05</v>
      </c>
      <c r="D15" s="8" t="inlineStr">
        <is>
          <t>S</t>
        </is>
      </c>
      <c r="E15" s="8" t="inlineStr">
        <is>
          <t>Electromagnetic</t>
        </is>
      </c>
      <c r="F15" s="10" t="inlineStr">
        <is>
          <t>Y</t>
        </is>
      </c>
      <c r="G15" s="8" t="inlineStr">
        <is>
          <t>G₀ = 2e²/h; exact</t>
        </is>
      </c>
    </row>
    <row r="16">
      <c r="A16" s="11" t="inlineStr">
        <is>
          <t>K_J</t>
        </is>
      </c>
      <c r="B16" s="4" t="inlineStr">
        <is>
          <t>Josephson constant</t>
        </is>
      </c>
      <c r="C16" s="5" t="n">
        <v>483597848400000</v>
      </c>
      <c r="D16" s="4" t="inlineStr">
        <is>
          <t>Hz·V⁻¹</t>
        </is>
      </c>
      <c r="E16" s="4" t="inlineStr">
        <is>
          <t>Electromagnetic</t>
        </is>
      </c>
      <c r="F16" s="6" t="inlineStr">
        <is>
          <t>Y</t>
        </is>
      </c>
      <c r="G16" s="4" t="inlineStr">
        <is>
          <t>K_J = 2e/h; exact</t>
        </is>
      </c>
    </row>
    <row r="17">
      <c r="A17" s="12" t="inlineStr">
        <is>
          <t>R_K</t>
        </is>
      </c>
      <c r="B17" s="8" t="inlineStr">
        <is>
          <t>von Klitzing constant</t>
        </is>
      </c>
      <c r="C17" s="9" t="n">
        <v>25812.80745</v>
      </c>
      <c r="D17" s="8" t="inlineStr">
        <is>
          <t>Ω</t>
        </is>
      </c>
      <c r="E17" s="8" t="inlineStr">
        <is>
          <t>Electromagnetic</t>
        </is>
      </c>
      <c r="F17" s="10" t="inlineStr">
        <is>
          <t>Y</t>
        </is>
      </c>
      <c r="G17" s="8" t="inlineStr">
        <is>
          <t>R_K = h/e²; exact</t>
        </is>
      </c>
    </row>
    <row r="18">
      <c r="A18" s="11" t="inlineStr">
        <is>
          <t>μ_B</t>
        </is>
      </c>
      <c r="B18" s="4" t="inlineStr">
        <is>
          <t>Bohr magneton</t>
        </is>
      </c>
      <c r="C18" s="5" t="n">
        <v>9.2740100783e-24</v>
      </c>
      <c r="D18" s="4" t="inlineStr">
        <is>
          <t>J·T⁻¹</t>
        </is>
      </c>
      <c r="E18" s="4" t="inlineStr">
        <is>
          <t>Electromagnetic</t>
        </is>
      </c>
      <c r="F18" s="6" t="inlineStr">
        <is>
          <t>N</t>
        </is>
      </c>
      <c r="G18" s="4" t="inlineStr">
        <is>
          <t>μ_B = eħ/(2m_e); CODATA 2018</t>
        </is>
      </c>
    </row>
    <row r="19">
      <c r="A19" s="12" t="inlineStr">
        <is>
          <t>μ_N</t>
        </is>
      </c>
      <c r="B19" s="8" t="inlineStr">
        <is>
          <t>Nuclear magneton</t>
        </is>
      </c>
      <c r="C19" s="9" t="n">
        <v>5.0507837461e-27</v>
      </c>
      <c r="D19" s="8" t="inlineStr">
        <is>
          <t>J·T⁻¹</t>
        </is>
      </c>
      <c r="E19" s="8" t="inlineStr">
        <is>
          <t>Electromagnetic</t>
        </is>
      </c>
      <c r="F19" s="10" t="inlineStr">
        <is>
          <t>N</t>
        </is>
      </c>
      <c r="G19" s="8" t="inlineStr">
        <is>
          <t>μ_N = eħ/(2m_p); CODATA 2018</t>
        </is>
      </c>
    </row>
    <row r="20">
      <c r="A20" s="11" t="inlineStr">
        <is>
          <t>α</t>
        </is>
      </c>
      <c r="B20" s="4" t="inlineStr">
        <is>
          <t>Fine-structure constant</t>
        </is>
      </c>
      <c r="C20" s="5" t="n">
        <v>0.0072973525693</v>
      </c>
      <c r="D20" s="4" t="inlineStr">
        <is>
          <t>dimensionless</t>
        </is>
      </c>
      <c r="E20" s="4" t="inlineStr">
        <is>
          <t>Electromagnetic</t>
        </is>
      </c>
      <c r="F20" s="6" t="inlineStr">
        <is>
          <t>N</t>
        </is>
      </c>
      <c r="G20" s="4" t="inlineStr">
        <is>
          <t>α = e²/(4πε₀ħc) ≈ 1/137.036; CODATA 2018</t>
        </is>
      </c>
    </row>
    <row r="21">
      <c r="A21" s="12" t="inlineStr">
        <is>
          <t>1/α</t>
        </is>
      </c>
      <c r="B21" s="8" t="inlineStr">
        <is>
          <t>Inverse fine-structure constant</t>
        </is>
      </c>
      <c r="C21" s="9" t="n">
        <v>137.035999084</v>
      </c>
      <c r="D21" s="8" t="inlineStr">
        <is>
          <t>dimensionless</t>
        </is>
      </c>
      <c r="E21" s="8" t="inlineStr">
        <is>
          <t>Electromagnetic</t>
        </is>
      </c>
      <c r="F21" s="10" t="inlineStr">
        <is>
          <t>N</t>
        </is>
      </c>
      <c r="G21" s="8" t="inlineStr">
        <is>
          <t>CODATA 2018</t>
        </is>
      </c>
    </row>
    <row r="22">
      <c r="A22" s="11" t="inlineStr">
        <is>
          <t>N_A</t>
        </is>
      </c>
      <c r="B22" s="4" t="inlineStr">
        <is>
          <t>Avogadro constant</t>
        </is>
      </c>
      <c r="C22" s="5" t="n">
        <v>6.02214076e+23</v>
      </c>
      <c r="D22" s="4" t="inlineStr">
        <is>
          <t>mol⁻¹</t>
        </is>
      </c>
      <c r="E22" s="4" t="inlineStr">
        <is>
          <t>Atomic</t>
        </is>
      </c>
      <c r="F22" s="6" t="inlineStr">
        <is>
          <t>Y</t>
        </is>
      </c>
      <c r="G22" s="4" t="inlineStr">
        <is>
          <t>Exact by SI 2019; defines mole</t>
        </is>
      </c>
    </row>
    <row r="23">
      <c r="A23" s="12" t="inlineStr">
        <is>
          <t>u</t>
        </is>
      </c>
      <c r="B23" s="8" t="inlineStr">
        <is>
          <t>Atomic mass unit (dalton)</t>
        </is>
      </c>
      <c r="C23" s="9" t="n">
        <v>1.6605390666e-27</v>
      </c>
      <c r="D23" s="8" t="inlineStr">
        <is>
          <t>kg</t>
        </is>
      </c>
      <c r="E23" s="8" t="inlineStr">
        <is>
          <t>Atomic</t>
        </is>
      </c>
      <c r="F23" s="10" t="inlineStr">
        <is>
          <t>N</t>
        </is>
      </c>
      <c r="G23" s="8" t="inlineStr">
        <is>
          <t>1 u = m(¹²C)/12; CODATA 2018</t>
        </is>
      </c>
    </row>
    <row r="24">
      <c r="A24" s="11" t="inlineStr">
        <is>
          <t>m_e</t>
        </is>
      </c>
      <c r="B24" s="4" t="inlineStr">
        <is>
          <t>Electron rest mass</t>
        </is>
      </c>
      <c r="C24" s="5" t="n">
        <v>9.109383701500001e-31</v>
      </c>
      <c r="D24" s="4" t="inlineStr">
        <is>
          <t>kg</t>
        </is>
      </c>
      <c r="E24" s="4" t="inlineStr">
        <is>
          <t>Atomic</t>
        </is>
      </c>
      <c r="F24" s="6" t="inlineStr">
        <is>
          <t>N</t>
        </is>
      </c>
      <c r="G24" s="4" t="inlineStr">
        <is>
          <t>CODATA 2018; 0.510 999 MeV/c²</t>
        </is>
      </c>
    </row>
    <row r="25">
      <c r="A25" s="12" t="inlineStr">
        <is>
          <t>m_p</t>
        </is>
      </c>
      <c r="B25" s="8" t="inlineStr">
        <is>
          <t>Proton rest mass</t>
        </is>
      </c>
      <c r="C25" s="9" t="n">
        <v>1.67262192369e-27</v>
      </c>
      <c r="D25" s="8" t="inlineStr">
        <is>
          <t>kg</t>
        </is>
      </c>
      <c r="E25" s="8" t="inlineStr">
        <is>
          <t>Atomic</t>
        </is>
      </c>
      <c r="F25" s="10" t="inlineStr">
        <is>
          <t>N</t>
        </is>
      </c>
      <c r="G25" s="8" t="inlineStr">
        <is>
          <t>CODATA 2018; 938.272 MeV/c²</t>
        </is>
      </c>
    </row>
    <row r="26">
      <c r="A26" s="11" t="inlineStr">
        <is>
          <t>m_n</t>
        </is>
      </c>
      <c r="B26" s="4" t="inlineStr">
        <is>
          <t>Neutron rest mass</t>
        </is>
      </c>
      <c r="C26" s="5" t="n">
        <v>1.67492749804e-27</v>
      </c>
      <c r="D26" s="4" t="inlineStr">
        <is>
          <t>kg</t>
        </is>
      </c>
      <c r="E26" s="4" t="inlineStr">
        <is>
          <t>Atomic</t>
        </is>
      </c>
      <c r="F26" s="6" t="inlineStr">
        <is>
          <t>N</t>
        </is>
      </c>
      <c r="G26" s="4" t="inlineStr">
        <is>
          <t>CODATA 2018; 939.565 MeV/c²</t>
        </is>
      </c>
    </row>
    <row r="27">
      <c r="A27" s="12" t="inlineStr">
        <is>
          <t>m_d</t>
        </is>
      </c>
      <c r="B27" s="8" t="inlineStr">
        <is>
          <t>Deuteron mass</t>
        </is>
      </c>
      <c r="C27" s="9" t="n">
        <v>3.3435837724e-27</v>
      </c>
      <c r="D27" s="8" t="inlineStr">
        <is>
          <t>kg</t>
        </is>
      </c>
      <c r="E27" s="8" t="inlineStr">
        <is>
          <t>Atomic</t>
        </is>
      </c>
      <c r="F27" s="10" t="inlineStr">
        <is>
          <t>N</t>
        </is>
      </c>
      <c r="G27" s="8" t="inlineStr">
        <is>
          <t>CODATA 2018</t>
        </is>
      </c>
    </row>
    <row r="28">
      <c r="A28" s="11" t="inlineStr">
        <is>
          <t>m_α</t>
        </is>
      </c>
      <c r="B28" s="4" t="inlineStr">
        <is>
          <t>Alpha particle mass</t>
        </is>
      </c>
      <c r="C28" s="5" t="n">
        <v>6.6446573357e-27</v>
      </c>
      <c r="D28" s="4" t="inlineStr">
        <is>
          <t>kg</t>
        </is>
      </c>
      <c r="E28" s="4" t="inlineStr">
        <is>
          <t>Atomic</t>
        </is>
      </c>
      <c r="F28" s="6" t="inlineStr">
        <is>
          <t>N</t>
        </is>
      </c>
      <c r="G28" s="4" t="inlineStr">
        <is>
          <t>CODATA 2018</t>
        </is>
      </c>
    </row>
    <row r="29">
      <c r="A29" s="12" t="inlineStr">
        <is>
          <t>a₀</t>
        </is>
      </c>
      <c r="B29" s="8" t="inlineStr">
        <is>
          <t>Bohr radius</t>
        </is>
      </c>
      <c r="C29" s="9" t="n">
        <v>5.29177210903e-11</v>
      </c>
      <c r="D29" s="8" t="inlineStr">
        <is>
          <t>m</t>
        </is>
      </c>
      <c r="E29" s="8" t="inlineStr">
        <is>
          <t>Atomic</t>
        </is>
      </c>
      <c r="F29" s="10" t="inlineStr">
        <is>
          <t>N</t>
        </is>
      </c>
      <c r="G29" s="8" t="inlineStr">
        <is>
          <t>a₀ = ħ/(m_e c α); CODATA 2018</t>
        </is>
      </c>
    </row>
    <row r="30">
      <c r="A30" s="11" t="inlineStr">
        <is>
          <t>E_h</t>
        </is>
      </c>
      <c r="B30" s="4" t="inlineStr">
        <is>
          <t>Hartree energy</t>
        </is>
      </c>
      <c r="C30" s="5" t="n">
        <v>4.3597447222071e-18</v>
      </c>
      <c r="D30" s="4" t="inlineStr">
        <is>
          <t>J</t>
        </is>
      </c>
      <c r="E30" s="4" t="inlineStr">
        <is>
          <t>Atomic</t>
        </is>
      </c>
      <c r="F30" s="6" t="inlineStr">
        <is>
          <t>N</t>
        </is>
      </c>
      <c r="G30" s="4" t="inlineStr">
        <is>
          <t>E_h = m_e(cα)²; CODATA 2018; = 27.211 eV</t>
        </is>
      </c>
    </row>
    <row r="31">
      <c r="A31" s="12" t="inlineStr">
        <is>
          <t>r_e</t>
        </is>
      </c>
      <c r="B31" s="8" t="inlineStr">
        <is>
          <t>Classical electron radius</t>
        </is>
      </c>
      <c r="C31" s="9" t="n">
        <v>2.8179403227e-15</v>
      </c>
      <c r="D31" s="8" t="inlineStr">
        <is>
          <t>m</t>
        </is>
      </c>
      <c r="E31" s="8" t="inlineStr">
        <is>
          <t>Atomic</t>
        </is>
      </c>
      <c r="F31" s="10" t="inlineStr">
        <is>
          <t>N</t>
        </is>
      </c>
      <c r="G31" s="8" t="inlineStr">
        <is>
          <t>r_e = α²a₀ = e²/(4πε₀m_ec²); CODATA 2018</t>
        </is>
      </c>
    </row>
    <row r="32">
      <c r="A32" s="11" t="inlineStr">
        <is>
          <t>λ_C</t>
        </is>
      </c>
      <c r="B32" s="4" t="inlineStr">
        <is>
          <t>Compton wavelength</t>
        </is>
      </c>
      <c r="C32" s="5" t="n">
        <v>2.42631023867e-12</v>
      </c>
      <c r="D32" s="4" t="inlineStr">
        <is>
          <t>m</t>
        </is>
      </c>
      <c r="E32" s="4" t="inlineStr">
        <is>
          <t>Atomic</t>
        </is>
      </c>
      <c r="F32" s="6" t="inlineStr">
        <is>
          <t>N</t>
        </is>
      </c>
      <c r="G32" s="4" t="inlineStr">
        <is>
          <t>λ_C = h/(m_ec); CODATA 2018</t>
        </is>
      </c>
    </row>
    <row r="33">
      <c r="A33" s="12" t="inlineStr">
        <is>
          <t>R_∞</t>
        </is>
      </c>
      <c r="B33" s="8" t="inlineStr">
        <is>
          <t>Rydberg constant</t>
        </is>
      </c>
      <c r="C33" s="9" t="n">
        <v>10973731.56816</v>
      </c>
      <c r="D33" s="8" t="inlineStr">
        <is>
          <t>m⁻¹</t>
        </is>
      </c>
      <c r="E33" s="8" t="inlineStr">
        <is>
          <t>Atomic</t>
        </is>
      </c>
      <c r="F33" s="10" t="inlineStr">
        <is>
          <t>N</t>
        </is>
      </c>
      <c r="G33" s="8" t="inlineStr">
        <is>
          <t>R_∞ = m_ecα²/(2h); CODATA 2018</t>
        </is>
      </c>
    </row>
    <row r="34">
      <c r="A34" s="11" t="inlineStr">
        <is>
          <t>g_e</t>
        </is>
      </c>
      <c r="B34" s="4" t="inlineStr">
        <is>
          <t>Electron g-factor</t>
        </is>
      </c>
      <c r="C34" s="5" t="n">
        <v>-2.00231930436256</v>
      </c>
      <c r="D34" s="4" t="inlineStr">
        <is>
          <t>dimensionless</t>
        </is>
      </c>
      <c r="E34" s="4" t="inlineStr">
        <is>
          <t>Atomic</t>
        </is>
      </c>
      <c r="F34" s="6" t="inlineStr">
        <is>
          <t>N</t>
        </is>
      </c>
      <c r="G34" s="4" t="inlineStr">
        <is>
          <t>CODATA 2018; anomalous magnetic moment included</t>
        </is>
      </c>
    </row>
    <row r="35">
      <c r="A35" s="12" t="inlineStr">
        <is>
          <t>g_p</t>
        </is>
      </c>
      <c r="B35" s="8" t="inlineStr">
        <is>
          <t>Proton g-factor</t>
        </is>
      </c>
      <c r="C35" s="9" t="n">
        <v>5.5856946893</v>
      </c>
      <c r="D35" s="8" t="inlineStr">
        <is>
          <t>dimensionless</t>
        </is>
      </c>
      <c r="E35" s="8" t="inlineStr">
        <is>
          <t>Atomic</t>
        </is>
      </c>
      <c r="F35" s="10" t="inlineStr">
        <is>
          <t>N</t>
        </is>
      </c>
      <c r="G35" s="8" t="inlineStr">
        <is>
          <t>CODATA 2018</t>
        </is>
      </c>
    </row>
    <row r="36">
      <c r="A36" s="11" t="inlineStr">
        <is>
          <t>t_P</t>
        </is>
      </c>
      <c r="B36" s="4" t="inlineStr">
        <is>
          <t>Planck time</t>
        </is>
      </c>
      <c r="C36" s="5" t="n">
        <v>5.391247e-44</v>
      </c>
      <c r="D36" s="4" t="inlineStr">
        <is>
          <t>s</t>
        </is>
      </c>
      <c r="E36" s="4" t="inlineStr">
        <is>
          <t>Atomic</t>
        </is>
      </c>
      <c r="F36" s="6" t="inlineStr">
        <is>
          <t>N</t>
        </is>
      </c>
      <c r="G36" s="4" t="inlineStr">
        <is>
          <t>t_P = √(ħG/c⁵); CODATA 2018</t>
        </is>
      </c>
    </row>
    <row r="37">
      <c r="A37" s="12" t="inlineStr">
        <is>
          <t>l_P</t>
        </is>
      </c>
      <c r="B37" s="8" t="inlineStr">
        <is>
          <t>Planck length</t>
        </is>
      </c>
      <c r="C37" s="9" t="n">
        <v>1.616255e-35</v>
      </c>
      <c r="D37" s="8" t="inlineStr">
        <is>
          <t>m</t>
        </is>
      </c>
      <c r="E37" s="8" t="inlineStr">
        <is>
          <t>Atomic</t>
        </is>
      </c>
      <c r="F37" s="10" t="inlineStr">
        <is>
          <t>N</t>
        </is>
      </c>
      <c r="G37" s="8" t="inlineStr">
        <is>
          <t>l_P = √(ħG/c³); CODATA 2018</t>
        </is>
      </c>
    </row>
    <row r="38">
      <c r="A38" s="11" t="inlineStr">
        <is>
          <t>m_P</t>
        </is>
      </c>
      <c r="B38" s="4" t="inlineStr">
        <is>
          <t>Planck mass</t>
        </is>
      </c>
      <c r="C38" s="5" t="n">
        <v>2.176434e-08</v>
      </c>
      <c r="D38" s="4" t="inlineStr">
        <is>
          <t>kg</t>
        </is>
      </c>
      <c r="E38" s="4" t="inlineStr">
        <is>
          <t>Atomic</t>
        </is>
      </c>
      <c r="F38" s="6" t="inlineStr">
        <is>
          <t>N</t>
        </is>
      </c>
      <c r="G38" s="4" t="inlineStr">
        <is>
          <t>m_P = √(ħc/G); CODATA 2018; = 21.76 μg</t>
        </is>
      </c>
    </row>
    <row r="39">
      <c r="A39" s="12" t="inlineStr">
        <is>
          <t>T_P</t>
        </is>
      </c>
      <c r="B39" s="8" t="inlineStr">
        <is>
          <t>Planck temperature</t>
        </is>
      </c>
      <c r="C39" s="9" t="n">
        <v>1.416784e+32</v>
      </c>
      <c r="D39" s="8" t="inlineStr">
        <is>
          <t>K</t>
        </is>
      </c>
      <c r="E39" s="8" t="inlineStr">
        <is>
          <t>Atomic</t>
        </is>
      </c>
      <c r="F39" s="10" t="inlineStr">
        <is>
          <t>N</t>
        </is>
      </c>
      <c r="G39" s="8" t="inlineStr">
        <is>
          <t>T_P = m_Pc²/k_B; CODATA 2018</t>
        </is>
      </c>
    </row>
    <row r="40">
      <c r="A40" s="11" t="inlineStr">
        <is>
          <t>σ_T</t>
        </is>
      </c>
      <c r="B40" s="4" t="inlineStr">
        <is>
          <t>Thomson cross section</t>
        </is>
      </c>
      <c r="C40" s="5" t="n">
        <v>6.6524587321e-29</v>
      </c>
      <c r="D40" s="4" t="inlineStr">
        <is>
          <t>m²</t>
        </is>
      </c>
      <c r="E40" s="4" t="inlineStr">
        <is>
          <t>Atomic</t>
        </is>
      </c>
      <c r="F40" s="6" t="inlineStr">
        <is>
          <t>N</t>
        </is>
      </c>
      <c r="G40" s="4" t="inlineStr">
        <is>
          <t>σ_T = (8π/3)r_e²; CODATA 2018</t>
        </is>
      </c>
    </row>
    <row r="41">
      <c r="A41" s="12" t="inlineStr">
        <is>
          <t>k_B</t>
        </is>
      </c>
      <c r="B41" s="8" t="inlineStr">
        <is>
          <t>Boltzmann constant</t>
        </is>
      </c>
      <c r="C41" s="9" t="n">
        <v>1.380649e-23</v>
      </c>
      <c r="D41" s="8" t="inlineStr">
        <is>
          <t>J·K⁻¹</t>
        </is>
      </c>
      <c r="E41" s="8" t="inlineStr">
        <is>
          <t>Thermodynamic</t>
        </is>
      </c>
      <c r="F41" s="10" t="inlineStr">
        <is>
          <t>Y</t>
        </is>
      </c>
      <c r="G41" s="8" t="inlineStr">
        <is>
          <t>Exact by SI 2019; defines kelvin</t>
        </is>
      </c>
    </row>
    <row r="42">
      <c r="A42" s="11" t="inlineStr">
        <is>
          <t>R</t>
        </is>
      </c>
      <c r="B42" s="4" t="inlineStr">
        <is>
          <t>Molar gas constant</t>
        </is>
      </c>
      <c r="C42" s="5" t="n">
        <v>8.314462618</v>
      </c>
      <c r="D42" s="4" t="inlineStr">
        <is>
          <t>J·mol⁻¹·K⁻¹</t>
        </is>
      </c>
      <c r="E42" s="4" t="inlineStr">
        <is>
          <t>Thermodynamic</t>
        </is>
      </c>
      <c r="F42" s="6" t="inlineStr">
        <is>
          <t>Y</t>
        </is>
      </c>
      <c r="G42" s="4" t="inlineStr">
        <is>
          <t>R = N_A·k_B; exact post-2019; universal gas constant</t>
        </is>
      </c>
    </row>
    <row r="43">
      <c r="A43" s="12" t="inlineStr">
        <is>
          <t>F</t>
        </is>
      </c>
      <c r="B43" s="8" t="inlineStr">
        <is>
          <t>Faraday constant</t>
        </is>
      </c>
      <c r="C43" s="9" t="n">
        <v>96485.33212000001</v>
      </c>
      <c r="D43" s="8" t="inlineStr">
        <is>
          <t>C·mol⁻¹</t>
        </is>
      </c>
      <c r="E43" s="8" t="inlineStr">
        <is>
          <t>Thermodynamic</t>
        </is>
      </c>
      <c r="F43" s="10" t="inlineStr">
        <is>
          <t>Y</t>
        </is>
      </c>
      <c r="G43" s="8" t="inlineStr">
        <is>
          <t>F = N_A·e; exact post-2019</t>
        </is>
      </c>
    </row>
    <row r="44">
      <c r="A44" s="11" t="inlineStr">
        <is>
          <t>V_m</t>
        </is>
      </c>
      <c r="B44" s="4" t="inlineStr">
        <is>
          <t>Molar volume of ideal gas (STP: 0°C, 101.325 kPa)</t>
        </is>
      </c>
      <c r="C44" s="5" t="n">
        <v>0.022413969545</v>
      </c>
      <c r="D44" s="4" t="inlineStr">
        <is>
          <t>m³·mol⁻¹</t>
        </is>
      </c>
      <c r="E44" s="4" t="inlineStr">
        <is>
          <t>Thermodynamic</t>
        </is>
      </c>
      <c r="F44" s="6" t="inlineStr">
        <is>
          <t>Y</t>
        </is>
      </c>
      <c r="G44" s="4" t="inlineStr">
        <is>
          <t>V_m = RT/p at STP; exact</t>
        </is>
      </c>
    </row>
    <row r="45">
      <c r="A45" s="12" t="inlineStr">
        <is>
          <t>V_m_STP</t>
        </is>
      </c>
      <c r="B45" s="8" t="inlineStr">
        <is>
          <t>Molar volume of ideal gas (IUPAC STP: 0°C, 100 kPa)</t>
        </is>
      </c>
      <c r="C45" s="9" t="n">
        <v>0.02271095464</v>
      </c>
      <c r="D45" s="8" t="inlineStr">
        <is>
          <t>m³·mol⁻¹</t>
        </is>
      </c>
      <c r="E45" s="8" t="inlineStr">
        <is>
          <t>Thermodynamic</t>
        </is>
      </c>
      <c r="F45" s="10" t="inlineStr">
        <is>
          <t>Y</t>
        </is>
      </c>
      <c r="G45" s="8" t="inlineStr">
        <is>
          <t>IUPAC definition (100 kPa, 0°C); note: 22.711 L/mol</t>
        </is>
      </c>
    </row>
    <row r="46">
      <c r="A46" s="11" t="inlineStr">
        <is>
          <t>V_m_NTP</t>
        </is>
      </c>
      <c r="B46" s="4" t="inlineStr">
        <is>
          <t>Molar volume of ideal gas (NTP: 20°C, 101.325 kPa)</t>
        </is>
      </c>
      <c r="C46" s="5" t="n">
        <v>0.024055</v>
      </c>
      <c r="D46" s="4" t="inlineStr">
        <is>
          <t>m³·mol⁻¹</t>
        </is>
      </c>
      <c r="E46" s="4" t="inlineStr">
        <is>
          <t>Thermodynamic</t>
        </is>
      </c>
      <c r="F46" s="6" t="inlineStr">
        <is>
          <t>N</t>
        </is>
      </c>
      <c r="G46" s="4" t="inlineStr">
        <is>
          <t>NTP (Normal Temperature &amp; Pressure); engineering standard</t>
        </is>
      </c>
    </row>
    <row r="47">
      <c r="A47" s="12" t="inlineStr">
        <is>
          <t>T_STP</t>
        </is>
      </c>
      <c r="B47" s="8" t="inlineStr">
        <is>
          <t>Standard temperature (STP/NTP)</t>
        </is>
      </c>
      <c r="C47" s="9" t="n">
        <v>273.15</v>
      </c>
      <c r="D47" s="8" t="inlineStr">
        <is>
          <t>K</t>
        </is>
      </c>
      <c r="E47" s="8" t="inlineStr">
        <is>
          <t>Thermodynamic</t>
        </is>
      </c>
      <c r="F47" s="10" t="inlineStr">
        <is>
          <t>Y</t>
        </is>
      </c>
      <c r="G47" s="8" t="inlineStr">
        <is>
          <t>0°C = 273.15 K; exact by definition</t>
        </is>
      </c>
    </row>
    <row r="48">
      <c r="A48" s="11" t="inlineStr">
        <is>
          <t>p_STP</t>
        </is>
      </c>
      <c r="B48" s="4" t="inlineStr">
        <is>
          <t>Standard pressure (STP)</t>
        </is>
      </c>
      <c r="C48" s="5" t="n">
        <v>101325</v>
      </c>
      <c r="D48" s="4" t="inlineStr">
        <is>
          <t>Pa</t>
        </is>
      </c>
      <c r="E48" s="4" t="inlineStr">
        <is>
          <t>Thermodynamic</t>
        </is>
      </c>
      <c r="F48" s="6" t="inlineStr">
        <is>
          <t>Y</t>
        </is>
      </c>
      <c r="G48" s="4" t="inlineStr">
        <is>
          <t>1 atm; exact by definition</t>
        </is>
      </c>
    </row>
    <row r="49">
      <c r="A49" s="12" t="inlineStr">
        <is>
          <t>p_IUPAC</t>
        </is>
      </c>
      <c r="B49" s="8" t="inlineStr">
        <is>
          <t>IUPAC standard pressure</t>
        </is>
      </c>
      <c r="C49" s="9" t="n">
        <v>100000</v>
      </c>
      <c r="D49" s="8" t="inlineStr">
        <is>
          <t>Pa</t>
        </is>
      </c>
      <c r="E49" s="8" t="inlineStr">
        <is>
          <t>Thermodynamic</t>
        </is>
      </c>
      <c r="F49" s="10" t="inlineStr">
        <is>
          <t>Y</t>
        </is>
      </c>
      <c r="G49" s="8" t="inlineStr">
        <is>
          <t>IUPAC 1982 standard; 100 kPa exactly</t>
        </is>
      </c>
    </row>
    <row r="50">
      <c r="A50" s="11" t="inlineStr">
        <is>
          <t>Cp_air</t>
        </is>
      </c>
      <c r="B50" s="4" t="inlineStr">
        <is>
          <t>Specific heat capacity of air at const. pressure (~25°C)</t>
        </is>
      </c>
      <c r="C50" s="5" t="n">
        <v>1005</v>
      </c>
      <c r="D50" s="4" t="inlineStr">
        <is>
          <t>J·kg⁻¹·K⁻¹</t>
        </is>
      </c>
      <c r="E50" s="4" t="inlineStr">
        <is>
          <t>Thermodynamic</t>
        </is>
      </c>
      <c r="F50" s="6" t="inlineStr">
        <is>
          <t>N</t>
        </is>
      </c>
      <c r="G50" s="4" t="inlineStr">
        <is>
          <t>Engineering reference value; varies with T &amp; humidity</t>
        </is>
      </c>
    </row>
    <row r="51">
      <c r="A51" s="12" t="inlineStr">
        <is>
          <t>Cv_air</t>
        </is>
      </c>
      <c r="B51" s="8" t="inlineStr">
        <is>
          <t>Specific heat capacity of air at const. volume (~25°C)</t>
        </is>
      </c>
      <c r="C51" s="9" t="n">
        <v>718</v>
      </c>
      <c r="D51" s="8" t="inlineStr">
        <is>
          <t>J·kg⁻¹·K⁻¹</t>
        </is>
      </c>
      <c r="E51" s="8" t="inlineStr">
        <is>
          <t>Thermodynamic</t>
        </is>
      </c>
      <c r="F51" s="10" t="inlineStr">
        <is>
          <t>N</t>
        </is>
      </c>
      <c r="G51" s="8" t="inlineStr">
        <is>
          <t>γ = Cp/Cv ≈ 1.400 for dry air</t>
        </is>
      </c>
    </row>
    <row r="52">
      <c r="A52" s="11" t="inlineStr">
        <is>
          <t>γ_air</t>
        </is>
      </c>
      <c r="B52" s="4" t="inlineStr">
        <is>
          <t>Heat capacity ratio of dry air</t>
        </is>
      </c>
      <c r="C52" s="5" t="n">
        <v>1.4</v>
      </c>
      <c r="D52" s="4" t="inlineStr">
        <is>
          <t>dimensionless</t>
        </is>
      </c>
      <c r="E52" s="4" t="inlineStr">
        <is>
          <t>Thermodynamic</t>
        </is>
      </c>
      <c r="F52" s="6" t="inlineStr">
        <is>
          <t>N</t>
        </is>
      </c>
      <c r="G52" s="4" t="inlineStr">
        <is>
          <t>γ = Cp/Cv ≈ 1.4 at 25°C, 1 atm</t>
        </is>
      </c>
    </row>
    <row r="53">
      <c r="A53" s="12" t="inlineStr">
        <is>
          <t>g_n</t>
        </is>
      </c>
      <c r="B53" s="8" t="inlineStr">
        <is>
          <t>Standard acceleration of gravity</t>
        </is>
      </c>
      <c r="C53" s="9" t="n">
        <v>9.806649999999999</v>
      </c>
      <c r="D53" s="8" t="inlineStr">
        <is>
          <t>m·s⁻²</t>
        </is>
      </c>
      <c r="E53" s="8" t="inlineStr">
        <is>
          <t>Gravitational</t>
        </is>
      </c>
      <c r="F53" s="10" t="inlineStr">
        <is>
          <t>Y</t>
        </is>
      </c>
      <c r="G53" s="8" t="inlineStr">
        <is>
          <t>g_n; exact by definition (ISO 80000-3); CGPM 1901</t>
        </is>
      </c>
    </row>
    <row r="54">
      <c r="A54" s="11" t="inlineStr">
        <is>
          <t>g_equator</t>
        </is>
      </c>
      <c r="B54" s="4" t="inlineStr">
        <is>
          <t>Gravitational acceleration at equator (sea level)</t>
        </is>
      </c>
      <c r="C54" s="5" t="n">
        <v>9.7803267715</v>
      </c>
      <c r="D54" s="4" t="inlineStr">
        <is>
          <t>m·s⁻²</t>
        </is>
      </c>
      <c r="E54" s="4" t="inlineStr">
        <is>
          <t>Gravitational</t>
        </is>
      </c>
      <c r="F54" s="6" t="inlineStr">
        <is>
          <t>N</t>
        </is>
      </c>
      <c r="G54" s="4" t="inlineStr">
        <is>
          <t>WGS-84 ellipsoidal model</t>
        </is>
      </c>
    </row>
    <row r="55">
      <c r="A55" s="12" t="inlineStr">
        <is>
          <t>g_pole</t>
        </is>
      </c>
      <c r="B55" s="8" t="inlineStr">
        <is>
          <t>Gravitational acceleration at poles (sea level)</t>
        </is>
      </c>
      <c r="C55" s="9" t="n">
        <v>9.8321863685</v>
      </c>
      <c r="D55" s="8" t="inlineStr">
        <is>
          <t>m·s⁻²</t>
        </is>
      </c>
      <c r="E55" s="8" t="inlineStr">
        <is>
          <t>Gravitational</t>
        </is>
      </c>
      <c r="F55" s="10" t="inlineStr">
        <is>
          <t>N</t>
        </is>
      </c>
      <c r="G55" s="8" t="inlineStr">
        <is>
          <t>WGS-84 ellipsoidal model</t>
        </is>
      </c>
    </row>
    <row r="56">
      <c r="A56" s="11" t="inlineStr">
        <is>
          <t>GM_E</t>
        </is>
      </c>
      <c r="B56" s="4" t="inlineStr">
        <is>
          <t>Geocentric gravitational constant</t>
        </is>
      </c>
      <c r="C56" s="5" t="n">
        <v>398600441800000</v>
      </c>
      <c r="D56" s="4" t="inlineStr">
        <is>
          <t>m³·s⁻²</t>
        </is>
      </c>
      <c r="E56" s="4" t="inlineStr">
        <is>
          <t>Gravitational</t>
        </is>
      </c>
      <c r="F56" s="6" t="inlineStr">
        <is>
          <t>N</t>
        </is>
      </c>
      <c r="G56" s="4" t="inlineStr">
        <is>
          <t>GM_E = G·M_Earth; EGM2008 / IERS 2010</t>
        </is>
      </c>
    </row>
    <row r="57">
      <c r="A57" s="12" t="inlineStr">
        <is>
          <t>M_E</t>
        </is>
      </c>
      <c r="B57" s="8" t="inlineStr">
        <is>
          <t>Mass of Earth</t>
        </is>
      </c>
      <c r="C57" s="9" t="n">
        <v>5.9722e+24</v>
      </c>
      <c r="D57" s="8" t="inlineStr">
        <is>
          <t>kg</t>
        </is>
      </c>
      <c r="E57" s="8" t="inlineStr">
        <is>
          <t>Gravitational</t>
        </is>
      </c>
      <c r="F57" s="10" t="inlineStr">
        <is>
          <t>N</t>
        </is>
      </c>
      <c r="G57" s="8" t="inlineStr">
        <is>
          <t>IAU 2015 nominal; derived from GM_E/G</t>
        </is>
      </c>
    </row>
    <row r="58">
      <c r="A58" s="11" t="inlineStr">
        <is>
          <t>R_E</t>
        </is>
      </c>
      <c r="B58" s="4" t="inlineStr">
        <is>
          <t>Mean radius of Earth</t>
        </is>
      </c>
      <c r="C58" s="5" t="n">
        <v>6371000</v>
      </c>
      <c r="D58" s="4" t="inlineStr">
        <is>
          <t>m</t>
        </is>
      </c>
      <c r="E58" s="4" t="inlineStr">
        <is>
          <t>Gravitational</t>
        </is>
      </c>
      <c r="F58" s="6" t="inlineStr">
        <is>
          <t>N</t>
        </is>
      </c>
      <c r="G58" s="4" t="inlineStr">
        <is>
          <t>IUGG mean radius; IAU 2015</t>
        </is>
      </c>
    </row>
    <row r="59">
      <c r="A59" s="12" t="inlineStr">
        <is>
          <t>R_E_eq</t>
        </is>
      </c>
      <c r="B59" s="8" t="inlineStr">
        <is>
          <t>Equatorial radius of Earth</t>
        </is>
      </c>
      <c r="C59" s="9" t="n">
        <v>6378137</v>
      </c>
      <c r="D59" s="8" t="inlineStr">
        <is>
          <t>m</t>
        </is>
      </c>
      <c r="E59" s="8" t="inlineStr">
        <is>
          <t>Gravitational</t>
        </is>
      </c>
      <c r="F59" s="10" t="inlineStr">
        <is>
          <t>Y</t>
        </is>
      </c>
      <c r="G59" s="8" t="inlineStr">
        <is>
          <t>WGS-84 definition; exact</t>
        </is>
      </c>
    </row>
    <row r="60">
      <c r="A60" s="11" t="inlineStr">
        <is>
          <t>R_E_pol</t>
        </is>
      </c>
      <c r="B60" s="4" t="inlineStr">
        <is>
          <t>Polar radius of Earth</t>
        </is>
      </c>
      <c r="C60" s="5" t="n">
        <v>6356752.3142</v>
      </c>
      <c r="D60" s="4" t="inlineStr">
        <is>
          <t>m</t>
        </is>
      </c>
      <c r="E60" s="4" t="inlineStr">
        <is>
          <t>Gravitational</t>
        </is>
      </c>
      <c r="F60" s="6" t="inlineStr">
        <is>
          <t>N</t>
        </is>
      </c>
      <c r="G60" s="4" t="inlineStr">
        <is>
          <t>WGS-84 derived</t>
        </is>
      </c>
    </row>
    <row r="61">
      <c r="A61" s="12" t="inlineStr">
        <is>
          <t>f_Earth</t>
        </is>
      </c>
      <c r="B61" s="8" t="inlineStr">
        <is>
          <t>Flattening of Earth (WGS-84)</t>
        </is>
      </c>
      <c r="C61" s="9" t="n">
        <v>298.257223563</v>
      </c>
      <c r="D61" s="8" t="inlineStr">
        <is>
          <t>1/f (dimensionless)</t>
        </is>
      </c>
      <c r="E61" s="8" t="inlineStr">
        <is>
          <t>Gravitational</t>
        </is>
      </c>
      <c r="F61" s="10" t="inlineStr">
        <is>
          <t>Y</t>
        </is>
      </c>
      <c r="G61" s="8" t="inlineStr">
        <is>
          <t>Inverse flattening; WGS-84 definition</t>
        </is>
      </c>
    </row>
    <row r="62">
      <c r="A62" s="11" t="inlineStr">
        <is>
          <t>p_atm_std</t>
        </is>
      </c>
      <c r="B62" s="4" t="inlineStr">
        <is>
          <t>Standard atmosphere pressure</t>
        </is>
      </c>
      <c r="C62" s="5" t="n">
        <v>101325</v>
      </c>
      <c r="D62" s="4" t="inlineStr">
        <is>
          <t>Pa</t>
        </is>
      </c>
      <c r="E62" s="4" t="inlineStr">
        <is>
          <t>Gravitational</t>
        </is>
      </c>
      <c r="F62" s="6" t="inlineStr">
        <is>
          <t>Y</t>
        </is>
      </c>
      <c r="G62" s="4" t="inlineStr">
        <is>
          <t>1 atm; exact by definition; ISO 2533</t>
        </is>
      </c>
    </row>
    <row r="63">
      <c r="A63" s="12" t="inlineStr">
        <is>
          <t>ρ_air_STP</t>
        </is>
      </c>
      <c r="B63" s="8" t="inlineStr">
        <is>
          <t>Density of dry air at STP (0°C, 101.325 kPa)</t>
        </is>
      </c>
      <c r="C63" s="9" t="n">
        <v>1.2929</v>
      </c>
      <c r="D63" s="8" t="inlineStr">
        <is>
          <t>kg·m⁻³</t>
        </is>
      </c>
      <c r="E63" s="8" t="inlineStr">
        <is>
          <t>Gravitational</t>
        </is>
      </c>
      <c r="F63" s="10" t="inlineStr">
        <is>
          <t>N</t>
        </is>
      </c>
      <c r="G63" s="8" t="inlineStr">
        <is>
          <t>Calculated from ideal gas law; M_air = 28.9645 g/mol</t>
        </is>
      </c>
    </row>
    <row r="64">
      <c r="A64" s="11" t="inlineStr">
        <is>
          <t>M_air</t>
        </is>
      </c>
      <c r="B64" s="4" t="inlineStr">
        <is>
          <t>Molar mass of dry air</t>
        </is>
      </c>
      <c r="C64" s="5" t="n">
        <v>0.028965</v>
      </c>
      <c r="D64" s="4" t="inlineStr">
        <is>
          <t>kg·mol⁻¹</t>
        </is>
      </c>
      <c r="E64" s="4" t="inlineStr">
        <is>
          <t>Gravitational</t>
        </is>
      </c>
      <c r="F64" s="6" t="inlineStr">
        <is>
          <t>N</t>
        </is>
      </c>
      <c r="G64" s="4" t="inlineStr">
        <is>
          <t>Dry air composition; ISO 2533; 28.965 g/mol</t>
        </is>
      </c>
    </row>
    <row r="65">
      <c r="A65" s="12" t="inlineStr">
        <is>
          <t>au</t>
        </is>
      </c>
      <c r="B65" s="8" t="inlineStr">
        <is>
          <t>Astronomical unit</t>
        </is>
      </c>
      <c r="C65" s="9" t="n">
        <v>149597870700</v>
      </c>
      <c r="D65" s="8" t="inlineStr">
        <is>
          <t>m</t>
        </is>
      </c>
      <c r="E65" s="8" t="inlineStr">
        <is>
          <t>Astronomical</t>
        </is>
      </c>
      <c r="F65" s="10" t="inlineStr">
        <is>
          <t>Y</t>
        </is>
      </c>
      <c r="G65" s="8" t="inlineStr">
        <is>
          <t>IAU 2012 resolution B2; exact</t>
        </is>
      </c>
    </row>
    <row r="66">
      <c r="A66" s="11" t="inlineStr">
        <is>
          <t>ly</t>
        </is>
      </c>
      <c r="B66" s="4" t="inlineStr">
        <is>
          <t>Light-year</t>
        </is>
      </c>
      <c r="C66" s="5" t="n">
        <v>9460730472580800</v>
      </c>
      <c r="D66" s="4" t="inlineStr">
        <is>
          <t>m</t>
        </is>
      </c>
      <c r="E66" s="4" t="inlineStr">
        <is>
          <t>Astronomical</t>
        </is>
      </c>
      <c r="F66" s="6" t="inlineStr">
        <is>
          <t>Y</t>
        </is>
      </c>
      <c r="G66" s="4" t="inlineStr">
        <is>
          <t>IAU; 365.25 Julian days × c</t>
        </is>
      </c>
    </row>
    <row r="67">
      <c r="A67" s="12" t="inlineStr">
        <is>
          <t>pc</t>
        </is>
      </c>
      <c r="B67" s="8" t="inlineStr">
        <is>
          <t>Parsec</t>
        </is>
      </c>
      <c r="C67" s="9" t="n">
        <v>3.085677581e+16</v>
      </c>
      <c r="D67" s="8" t="inlineStr">
        <is>
          <t>m</t>
        </is>
      </c>
      <c r="E67" s="8" t="inlineStr">
        <is>
          <t>Astronomical</t>
        </is>
      </c>
      <c r="F67" s="10" t="inlineStr">
        <is>
          <t>N</t>
        </is>
      </c>
      <c r="G67" s="8" t="inlineStr">
        <is>
          <t>1 pc = au/tan(1 arcsec); IAU</t>
        </is>
      </c>
    </row>
    <row r="68">
      <c r="A68" s="11" t="inlineStr">
        <is>
          <t>GM_Sun</t>
        </is>
      </c>
      <c r="B68" s="4" t="inlineStr">
        <is>
          <t>Heliocentric gravitational constant</t>
        </is>
      </c>
      <c r="C68" s="5" t="n">
        <v>1.32712440018e+20</v>
      </c>
      <c r="D68" s="4" t="inlineStr">
        <is>
          <t>m³·s⁻²</t>
        </is>
      </c>
      <c r="E68" s="4" t="inlineStr">
        <is>
          <t>Astronomical</t>
        </is>
      </c>
      <c r="F68" s="6" t="inlineStr">
        <is>
          <t>N</t>
        </is>
      </c>
      <c r="G68" s="4" t="inlineStr">
        <is>
          <t>IAU 2015 nominal solar mass parameter</t>
        </is>
      </c>
    </row>
    <row r="69">
      <c r="A69" s="12" t="inlineStr">
        <is>
          <t>M_Sun</t>
        </is>
      </c>
      <c r="B69" s="8" t="inlineStr">
        <is>
          <t>Solar mass</t>
        </is>
      </c>
      <c r="C69" s="9" t="n">
        <v>1.98892e+30</v>
      </c>
      <c r="D69" s="8" t="inlineStr">
        <is>
          <t>kg</t>
        </is>
      </c>
      <c r="E69" s="8" t="inlineStr">
        <is>
          <t>Astronomical</t>
        </is>
      </c>
      <c r="F69" s="10" t="inlineStr">
        <is>
          <t>N</t>
        </is>
      </c>
      <c r="G69" s="8" t="inlineStr">
        <is>
          <t>IAU 2015 nominal; derived from GM_Sun</t>
        </is>
      </c>
    </row>
    <row r="70">
      <c r="A70" s="11" t="inlineStr">
        <is>
          <t>R_Sun</t>
        </is>
      </c>
      <c r="B70" s="4" t="inlineStr">
        <is>
          <t>Solar radius (nominal)</t>
        </is>
      </c>
      <c r="C70" s="5" t="n">
        <v>695700000</v>
      </c>
      <c r="D70" s="4" t="inlineStr">
        <is>
          <t>m</t>
        </is>
      </c>
      <c r="E70" s="4" t="inlineStr">
        <is>
          <t>Astronomical</t>
        </is>
      </c>
      <c r="F70" s="6" t="inlineStr">
        <is>
          <t>Y</t>
        </is>
      </c>
      <c r="G70" s="4" t="inlineStr">
        <is>
          <t>IAU 2015 Resolution B3 nominal value</t>
        </is>
      </c>
    </row>
    <row r="71">
      <c r="A71" s="12" t="inlineStr">
        <is>
          <t>L_Sun</t>
        </is>
      </c>
      <c r="B71" s="8" t="inlineStr">
        <is>
          <t>Solar luminosity (nominal)</t>
        </is>
      </c>
      <c r="C71" s="9" t="n">
        <v>3.828e+26</v>
      </c>
      <c r="D71" s="8" t="inlineStr">
        <is>
          <t>W</t>
        </is>
      </c>
      <c r="E71" s="8" t="inlineStr">
        <is>
          <t>Astronomical</t>
        </is>
      </c>
      <c r="F71" s="10" t="inlineStr">
        <is>
          <t>Y</t>
        </is>
      </c>
      <c r="G71" s="8" t="inlineStr">
        <is>
          <t>IAU 2015 nominal solar luminosity</t>
        </is>
      </c>
    </row>
    <row r="72">
      <c r="A72" s="11" t="inlineStr">
        <is>
          <t>T_Sun</t>
        </is>
      </c>
      <c r="B72" s="4" t="inlineStr">
        <is>
          <t>Effective temperature of Sun</t>
        </is>
      </c>
      <c r="C72" s="5" t="n">
        <v>5778</v>
      </c>
      <c r="D72" s="4" t="inlineStr">
        <is>
          <t>K</t>
        </is>
      </c>
      <c r="E72" s="4" t="inlineStr">
        <is>
          <t>Astronomical</t>
        </is>
      </c>
      <c r="F72" s="6" t="inlineStr">
        <is>
          <t>N</t>
        </is>
      </c>
      <c r="G72" s="4" t="inlineStr">
        <is>
          <t>Photospheric effective temperature</t>
        </is>
      </c>
    </row>
    <row r="73">
      <c r="A73" s="12" t="inlineStr">
        <is>
          <t>M_Moon</t>
        </is>
      </c>
      <c r="B73" s="8" t="inlineStr">
        <is>
          <t>Mass of Moon</t>
        </is>
      </c>
      <c r="C73" s="9" t="n">
        <v>7.342e+22</v>
      </c>
      <c r="D73" s="8" t="inlineStr">
        <is>
          <t>kg</t>
        </is>
      </c>
      <c r="E73" s="8" t="inlineStr">
        <is>
          <t>Astronomical</t>
        </is>
      </c>
      <c r="F73" s="10" t="inlineStr">
        <is>
          <t>N</t>
        </is>
      </c>
      <c r="G73" s="8" t="inlineStr">
        <is>
          <t>DE430 ephemeris; IAU</t>
        </is>
      </c>
    </row>
    <row r="74">
      <c r="A74" s="11" t="inlineStr">
        <is>
          <t>R_Moon</t>
        </is>
      </c>
      <c r="B74" s="4" t="inlineStr">
        <is>
          <t>Mean radius of Moon</t>
        </is>
      </c>
      <c r="C74" s="5" t="n">
        <v>1737400</v>
      </c>
      <c r="D74" s="4" t="inlineStr">
        <is>
          <t>m</t>
        </is>
      </c>
      <c r="E74" s="4" t="inlineStr">
        <is>
          <t>Astronomical</t>
        </is>
      </c>
      <c r="F74" s="6" t="inlineStr">
        <is>
          <t>N</t>
        </is>
      </c>
      <c r="G74" s="4" t="inlineStr">
        <is>
          <t>IAU WGCCRE 2015</t>
        </is>
      </c>
    </row>
    <row r="75">
      <c r="A75" s="12" t="inlineStr">
        <is>
          <t>T_CMB</t>
        </is>
      </c>
      <c r="B75" s="8" t="inlineStr">
        <is>
          <t>CMB temperature</t>
        </is>
      </c>
      <c r="C75" s="9" t="n">
        <v>2.72548</v>
      </c>
      <c r="D75" s="8" t="inlineStr">
        <is>
          <t>K</t>
        </is>
      </c>
      <c r="E75" s="8" t="inlineStr">
        <is>
          <t>Astronomical</t>
        </is>
      </c>
      <c r="F75" s="10" t="inlineStr">
        <is>
          <t>N</t>
        </is>
      </c>
      <c r="G75" s="8" t="inlineStr">
        <is>
          <t>Cosmic Microwave Background; Fixsen 2009, ApJ 707</t>
        </is>
      </c>
    </row>
    <row r="76">
      <c r="A76" s="11" t="inlineStr">
        <is>
          <t>H_0</t>
        </is>
      </c>
      <c r="B76" s="4" t="inlineStr">
        <is>
          <t>Hubble constant (Planck 2018)</t>
        </is>
      </c>
      <c r="C76" s="5" t="n">
        <v>67.40000000000001</v>
      </c>
      <c r="D76" s="4" t="inlineStr">
        <is>
          <t>km·s⁻¹·Mpc⁻¹</t>
        </is>
      </c>
      <c r="E76" s="4" t="inlineStr">
        <is>
          <t>Astronomical</t>
        </is>
      </c>
      <c r="F76" s="6" t="inlineStr">
        <is>
          <t>N</t>
        </is>
      </c>
      <c r="G76" s="4" t="inlineStr">
        <is>
          <t>Planck Collaboration 2018; 67.4 ± 0.5 km/s/Mpc</t>
        </is>
      </c>
    </row>
    <row r="77">
      <c r="A77" s="12" t="inlineStr">
        <is>
          <t>c₁</t>
        </is>
      </c>
      <c r="B77" s="8" t="inlineStr">
        <is>
          <t>First radiation constant</t>
        </is>
      </c>
      <c r="C77" s="9" t="n">
        <v>3.741771852e-16</v>
      </c>
      <c r="D77" s="8" t="inlineStr">
        <is>
          <t>W·m²</t>
        </is>
      </c>
      <c r="E77" s="8" t="inlineStr">
        <is>
          <t>Radiation</t>
        </is>
      </c>
      <c r="F77" s="10" t="inlineStr">
        <is>
          <t>Y</t>
        </is>
      </c>
      <c r="G77" s="8" t="inlineStr">
        <is>
          <t>c₁ = 2πhc²; exact post-2019</t>
        </is>
      </c>
    </row>
    <row r="78">
      <c r="A78" s="11" t="inlineStr">
        <is>
          <t>c₁L</t>
        </is>
      </c>
      <c r="B78" s="4" t="inlineStr">
        <is>
          <t>First radiation constant for spectral radiance</t>
        </is>
      </c>
      <c r="C78" s="5" t="n">
        <v>1.191042972e-16</v>
      </c>
      <c r="D78" s="4" t="inlineStr">
        <is>
          <t>W·m²·sr⁻¹</t>
        </is>
      </c>
      <c r="E78" s="4" t="inlineStr">
        <is>
          <t>Radiation</t>
        </is>
      </c>
      <c r="F78" s="6" t="inlineStr">
        <is>
          <t>Y</t>
        </is>
      </c>
      <c r="G78" s="4" t="inlineStr">
        <is>
          <t>c₁L = 2hc²; exact</t>
        </is>
      </c>
    </row>
    <row r="79">
      <c r="A79" s="12" t="inlineStr">
        <is>
          <t>c₂</t>
        </is>
      </c>
      <c r="B79" s="8" t="inlineStr">
        <is>
          <t>Second radiation constant</t>
        </is>
      </c>
      <c r="C79" s="9" t="n">
        <v>0.014387768775</v>
      </c>
      <c r="D79" s="8" t="inlineStr">
        <is>
          <t>m·K</t>
        </is>
      </c>
      <c r="E79" s="8" t="inlineStr">
        <is>
          <t>Radiation</t>
        </is>
      </c>
      <c r="F79" s="10" t="inlineStr">
        <is>
          <t>Y</t>
        </is>
      </c>
      <c r="G79" s="8" t="inlineStr">
        <is>
          <t>c₂ = hc/k_B; exact post-2019</t>
        </is>
      </c>
    </row>
    <row r="80">
      <c r="A80" s="11" t="inlineStr">
        <is>
          <t>m_u</t>
        </is>
      </c>
      <c r="B80" s="4" t="inlineStr">
        <is>
          <t>Molar mass constant</t>
        </is>
      </c>
      <c r="C80" s="5" t="n">
        <v>0.00099999999965</v>
      </c>
      <c r="D80" s="4" t="inlineStr">
        <is>
          <t>kg·mol⁻¹</t>
        </is>
      </c>
      <c r="E80" s="4" t="inlineStr">
        <is>
          <t>Physico-chemical</t>
        </is>
      </c>
      <c r="F80" s="6" t="inlineStr">
        <is>
          <t>N</t>
        </is>
      </c>
      <c r="G80" s="4" t="inlineStr">
        <is>
          <t>M_u = m_u × N_A; CODATA 2018; ≈ 10⁻³ kg/mol</t>
        </is>
      </c>
    </row>
    <row r="81">
      <c r="A81" s="12" t="inlineStr">
        <is>
          <t>L_v_water</t>
        </is>
      </c>
      <c r="B81" s="8" t="inlineStr">
        <is>
          <t>Specific latent heat of vaporisation of water (100°C)</t>
        </is>
      </c>
      <c r="C81" s="9" t="n">
        <v>2257000</v>
      </c>
      <c r="D81" s="8" t="inlineStr">
        <is>
          <t>J·kg⁻¹</t>
        </is>
      </c>
      <c r="E81" s="8" t="inlineStr">
        <is>
          <t>Physico-chemical</t>
        </is>
      </c>
      <c r="F81" s="10" t="inlineStr">
        <is>
          <t>N</t>
        </is>
      </c>
      <c r="G81" s="8" t="inlineStr">
        <is>
          <t>At 101.325 kPa; engineering reference</t>
        </is>
      </c>
    </row>
    <row r="82">
      <c r="A82" s="11" t="inlineStr">
        <is>
          <t>L_f_water</t>
        </is>
      </c>
      <c r="B82" s="4" t="inlineStr">
        <is>
          <t>Specific latent heat of fusion of water (0°C)</t>
        </is>
      </c>
      <c r="C82" s="5" t="n">
        <v>334000</v>
      </c>
      <c r="D82" s="4" t="inlineStr">
        <is>
          <t>J·kg⁻¹</t>
        </is>
      </c>
      <c r="E82" s="4" t="inlineStr">
        <is>
          <t>Physico-chemical</t>
        </is>
      </c>
      <c r="F82" s="6" t="inlineStr">
        <is>
          <t>N</t>
        </is>
      </c>
      <c r="G82" s="4" t="inlineStr">
        <is>
          <t>At 101.325 kPa; engineering reference</t>
        </is>
      </c>
    </row>
    <row r="83">
      <c r="A83" s="12" t="inlineStr">
        <is>
          <t>c_water</t>
        </is>
      </c>
      <c r="B83" s="8" t="inlineStr">
        <is>
          <t>Specific heat capacity of liquid water (15°C)</t>
        </is>
      </c>
      <c r="C83" s="9" t="n">
        <v>4186</v>
      </c>
      <c r="D83" s="8" t="inlineStr">
        <is>
          <t>J·kg⁻¹·K⁻¹</t>
        </is>
      </c>
      <c r="E83" s="8" t="inlineStr">
        <is>
          <t>Physico-chemical</t>
        </is>
      </c>
      <c r="F83" s="10" t="inlineStr">
        <is>
          <t>N</t>
        </is>
      </c>
      <c r="G83" s="8" t="inlineStr">
        <is>
          <t>IAPWS; 4185.5 J/(kg·K) at 15°C</t>
        </is>
      </c>
    </row>
    <row r="84">
      <c r="A84" s="11" t="inlineStr">
        <is>
          <t>ρ_water</t>
        </is>
      </c>
      <c r="B84" s="4" t="inlineStr">
        <is>
          <t>Density of liquid water (4°C, 1 atm)</t>
        </is>
      </c>
      <c r="C84" s="5" t="n">
        <v>999.972</v>
      </c>
      <c r="D84" s="4" t="inlineStr">
        <is>
          <t>kg·m⁻³</t>
        </is>
      </c>
      <c r="E84" s="4" t="inlineStr">
        <is>
          <t>Physico-chemical</t>
        </is>
      </c>
      <c r="F84" s="6" t="inlineStr">
        <is>
          <t>N</t>
        </is>
      </c>
      <c r="G84" s="4" t="inlineStr">
        <is>
          <t>Maximum density of water; IAPWS-95</t>
        </is>
      </c>
    </row>
    <row r="85">
      <c r="A85" s="12" t="inlineStr">
        <is>
          <t>ρ_ice</t>
        </is>
      </c>
      <c r="B85" s="8" t="inlineStr">
        <is>
          <t>Density of ice (0°C, 1 atm)</t>
        </is>
      </c>
      <c r="C85" s="9" t="n">
        <v>916.7</v>
      </c>
      <c r="D85" s="8" t="inlineStr">
        <is>
          <t>kg·m⁻³</t>
        </is>
      </c>
      <c r="E85" s="8" t="inlineStr">
        <is>
          <t>Physico-chemical</t>
        </is>
      </c>
      <c r="F85" s="10" t="inlineStr">
        <is>
          <t>N</t>
        </is>
      </c>
      <c r="G85" s="8" t="inlineStr">
        <is>
          <t>Engineering reference; IAPWS</t>
        </is>
      </c>
    </row>
    <row r="86">
      <c r="A86" s="11" t="inlineStr">
        <is>
          <t>γ_water</t>
        </is>
      </c>
      <c r="B86" s="4" t="inlineStr">
        <is>
          <t>Surface tension of water (20°C)</t>
        </is>
      </c>
      <c r="C86" s="5" t="n">
        <v>0.07275</v>
      </c>
      <c r="D86" s="4" t="inlineStr">
        <is>
          <t>N·m⁻¹</t>
        </is>
      </c>
      <c r="E86" s="4" t="inlineStr">
        <is>
          <t>Physico-chemical</t>
        </is>
      </c>
      <c r="F86" s="6" t="inlineStr">
        <is>
          <t>N</t>
        </is>
      </c>
      <c r="G86" s="4" t="inlineStr">
        <is>
          <t>IAPWS; 72.75 mN/m at 20°C</t>
        </is>
      </c>
    </row>
    <row r="87">
      <c r="A87" s="12" t="inlineStr">
        <is>
          <t>η_water</t>
        </is>
      </c>
      <c r="B87" s="8" t="inlineStr">
        <is>
          <t>Dynamic viscosity of water (20°C)</t>
        </is>
      </c>
      <c r="C87" s="9" t="n">
        <v>0.001002</v>
      </c>
      <c r="D87" s="8" t="inlineStr">
        <is>
          <t>Pa·s</t>
        </is>
      </c>
      <c r="E87" s="8" t="inlineStr">
        <is>
          <t>Physico-chemical</t>
        </is>
      </c>
      <c r="F87" s="10" t="inlineStr">
        <is>
          <t>N</t>
        </is>
      </c>
      <c r="G87" s="8" t="inlineStr">
        <is>
          <t>IAPWS; 1.002 mPa·s (cP) at 20°C</t>
        </is>
      </c>
    </row>
    <row r="88">
      <c r="A88" s="11" t="inlineStr">
        <is>
          <t>κ_water</t>
        </is>
      </c>
      <c r="B88" s="4" t="inlineStr">
        <is>
          <t>Thermal conductivity of water (25°C)</t>
        </is>
      </c>
      <c r="C88" s="5" t="n">
        <v>0.6065</v>
      </c>
      <c r="D88" s="4" t="inlineStr">
        <is>
          <t>W·m⁻¹·K⁻¹</t>
        </is>
      </c>
      <c r="E88" s="4" t="inlineStr">
        <is>
          <t>Physico-chemical</t>
        </is>
      </c>
      <c r="F88" s="6" t="inlineStr">
        <is>
          <t>N</t>
        </is>
      </c>
      <c r="G88" s="4" t="inlineStr">
        <is>
          <t>IAPWS-IF97; at 25°C, 101.325 kPa</t>
        </is>
      </c>
    </row>
    <row r="89">
      <c r="A89" s="12" t="inlineStr">
        <is>
          <t>T_triple</t>
        </is>
      </c>
      <c r="B89" s="8" t="inlineStr">
        <is>
          <t>Triple point of water</t>
        </is>
      </c>
      <c r="C89" s="9" t="n">
        <v>273.16</v>
      </c>
      <c r="D89" s="8" t="inlineStr">
        <is>
          <t>K</t>
        </is>
      </c>
      <c r="E89" s="8" t="inlineStr">
        <is>
          <t>Physico-chemical</t>
        </is>
      </c>
      <c r="F89" s="10" t="inlineStr">
        <is>
          <t>Y</t>
        </is>
      </c>
      <c r="G89" s="8" t="inlineStr">
        <is>
          <t>Defines 0.01°C; BIPM; 611.657 Pa</t>
        </is>
      </c>
    </row>
    <row r="90">
      <c r="A90" s="11" t="inlineStr">
        <is>
          <t>p_triple</t>
        </is>
      </c>
      <c r="B90" s="4" t="inlineStr">
        <is>
          <t>Pressure at triple point of water</t>
        </is>
      </c>
      <c r="C90" s="5" t="n">
        <v>611.657</v>
      </c>
      <c r="D90" s="4" t="inlineStr">
        <is>
          <t>Pa</t>
        </is>
      </c>
      <c r="E90" s="4" t="inlineStr">
        <is>
          <t>Physico-chemical</t>
        </is>
      </c>
      <c r="F90" s="6" t="inlineStr">
        <is>
          <t>N</t>
        </is>
      </c>
      <c r="G90" s="4" t="inlineStr">
        <is>
          <t>IAPWS-95; 0.00603 atm</t>
        </is>
      </c>
    </row>
    <row r="91">
      <c r="A91" s="12" t="inlineStr">
        <is>
          <t>E_steel</t>
        </is>
      </c>
      <c r="B91" s="8" t="inlineStr">
        <is>
          <t>Young's modulus of structural steel</t>
        </is>
      </c>
      <c r="C91" s="9" t="n">
        <v>200000000000</v>
      </c>
      <c r="D91" s="8" t="inlineStr">
        <is>
          <t>Pa</t>
        </is>
      </c>
      <c r="E91" s="8" t="inlineStr">
        <is>
          <t>Engineering</t>
        </is>
      </c>
      <c r="F91" s="10" t="inlineStr">
        <is>
          <t>N</t>
        </is>
      </c>
      <c r="G91" s="8" t="inlineStr">
        <is>
          <t>Typical value; 190–210 GPa; ASTM/ISO</t>
        </is>
      </c>
    </row>
    <row r="92">
      <c r="A92" s="11" t="inlineStr">
        <is>
          <t>E_Al</t>
        </is>
      </c>
      <c r="B92" s="4" t="inlineStr">
        <is>
          <t>Young's modulus of aluminium</t>
        </is>
      </c>
      <c r="C92" s="5" t="n">
        <v>69000000000</v>
      </c>
      <c r="D92" s="4" t="inlineStr">
        <is>
          <t>Pa</t>
        </is>
      </c>
      <c r="E92" s="4" t="inlineStr">
        <is>
          <t>Engineering</t>
        </is>
      </c>
      <c r="F92" s="6" t="inlineStr">
        <is>
          <t>N</t>
        </is>
      </c>
      <c r="G92" s="4" t="inlineStr">
        <is>
          <t>Typical; 68–70 GPa</t>
        </is>
      </c>
    </row>
    <row r="93">
      <c r="A93" s="12" t="inlineStr">
        <is>
          <t>E_Cu</t>
        </is>
      </c>
      <c r="B93" s="8" t="inlineStr">
        <is>
          <t>Young's modulus of copper</t>
        </is>
      </c>
      <c r="C93" s="9" t="n">
        <v>110000000000</v>
      </c>
      <c r="D93" s="8" t="inlineStr">
        <is>
          <t>Pa</t>
        </is>
      </c>
      <c r="E93" s="8" t="inlineStr">
        <is>
          <t>Engineering</t>
        </is>
      </c>
      <c r="F93" s="10" t="inlineStr">
        <is>
          <t>N</t>
        </is>
      </c>
      <c r="G93" s="8" t="inlineStr">
        <is>
          <t>Typical; 110–130 GPa</t>
        </is>
      </c>
    </row>
    <row r="94">
      <c r="A94" s="11" t="inlineStr">
        <is>
          <t>E_Ti</t>
        </is>
      </c>
      <c r="B94" s="4" t="inlineStr">
        <is>
          <t>Young's modulus of titanium</t>
        </is>
      </c>
      <c r="C94" s="5" t="n">
        <v>116000000000</v>
      </c>
      <c r="D94" s="4" t="inlineStr">
        <is>
          <t>Pa</t>
        </is>
      </c>
      <c r="E94" s="4" t="inlineStr">
        <is>
          <t>Engineering</t>
        </is>
      </c>
      <c r="F94" s="6" t="inlineStr">
        <is>
          <t>N</t>
        </is>
      </c>
      <c r="G94" s="4" t="inlineStr">
        <is>
          <t>Typical; 105–120 GPa</t>
        </is>
      </c>
    </row>
    <row r="95">
      <c r="A95" s="12" t="inlineStr">
        <is>
          <t>ρ_steel</t>
        </is>
      </c>
      <c r="B95" s="8" t="inlineStr">
        <is>
          <t>Density of structural steel</t>
        </is>
      </c>
      <c r="C95" s="9" t="n">
        <v>7850</v>
      </c>
      <c r="D95" s="8" t="inlineStr">
        <is>
          <t>kg·m⁻³</t>
        </is>
      </c>
      <c r="E95" s="8" t="inlineStr">
        <is>
          <t>Engineering</t>
        </is>
      </c>
      <c r="F95" s="10" t="inlineStr">
        <is>
          <t>N</t>
        </is>
      </c>
      <c r="G95" s="8" t="inlineStr">
        <is>
          <t>Typical carbon steel; ASTM</t>
        </is>
      </c>
    </row>
    <row r="96">
      <c r="A96" s="11" t="inlineStr">
        <is>
          <t>ρ_Al</t>
        </is>
      </c>
      <c r="B96" s="4" t="inlineStr">
        <is>
          <t>Density of aluminium (1100 alloy)</t>
        </is>
      </c>
      <c r="C96" s="5" t="n">
        <v>2710</v>
      </c>
      <c r="D96" s="4" t="inlineStr">
        <is>
          <t>kg·m⁻³</t>
        </is>
      </c>
      <c r="E96" s="4" t="inlineStr">
        <is>
          <t>Engineering</t>
        </is>
      </c>
      <c r="F96" s="6" t="inlineStr">
        <is>
          <t>N</t>
        </is>
      </c>
      <c r="G96" s="4" t="inlineStr"/>
    </row>
    <row r="97">
      <c r="A97" s="12" t="inlineStr">
        <is>
          <t>ρ_Cu</t>
        </is>
      </c>
      <c r="B97" s="8" t="inlineStr">
        <is>
          <t>Density of copper</t>
        </is>
      </c>
      <c r="C97" s="9" t="n">
        <v>8940</v>
      </c>
      <c r="D97" s="8" t="inlineStr">
        <is>
          <t>kg·m⁻³</t>
        </is>
      </c>
      <c r="E97" s="8" t="inlineStr">
        <is>
          <t>Engineering</t>
        </is>
      </c>
      <c r="F97" s="10" t="inlineStr">
        <is>
          <t>N</t>
        </is>
      </c>
      <c r="G97" s="8" t="inlineStr">
        <is>
          <t>OFHC copper; 8930–8960 kg/m³</t>
        </is>
      </c>
    </row>
    <row r="98">
      <c r="A98" s="11" t="inlineStr">
        <is>
          <t>ρ_concrete</t>
        </is>
      </c>
      <c r="B98" s="4" t="inlineStr">
        <is>
          <t>Density of normal concrete</t>
        </is>
      </c>
      <c r="C98" s="5" t="n">
        <v>2400</v>
      </c>
      <c r="D98" s="4" t="inlineStr">
        <is>
          <t>kg·m⁻³</t>
        </is>
      </c>
      <c r="E98" s="4" t="inlineStr">
        <is>
          <t>Engineering</t>
        </is>
      </c>
      <c r="F98" s="6" t="inlineStr">
        <is>
          <t>N</t>
        </is>
      </c>
      <c r="G98" s="4" t="inlineStr">
        <is>
          <t>Normal weight; ACI</t>
        </is>
      </c>
    </row>
    <row r="99">
      <c r="A99" s="12" t="inlineStr">
        <is>
          <t>k_steel</t>
        </is>
      </c>
      <c r="B99" s="8" t="inlineStr">
        <is>
          <t>Thermal conductivity of structural steel</t>
        </is>
      </c>
      <c r="C99" s="9" t="n">
        <v>50</v>
      </c>
      <c r="D99" s="8" t="inlineStr">
        <is>
          <t>W·m⁻¹·K⁻¹</t>
        </is>
      </c>
      <c r="E99" s="8" t="inlineStr">
        <is>
          <t>Engineering</t>
        </is>
      </c>
      <c r="F99" s="10" t="inlineStr">
        <is>
          <t>N</t>
        </is>
      </c>
      <c r="G99" s="8" t="inlineStr">
        <is>
          <t>Typical carbon steel; 45–65 W/(m·K)</t>
        </is>
      </c>
    </row>
    <row r="100">
      <c r="A100" s="11" t="inlineStr">
        <is>
          <t>k_Al</t>
        </is>
      </c>
      <c r="B100" s="4" t="inlineStr">
        <is>
          <t>Thermal conductivity of aluminium</t>
        </is>
      </c>
      <c r="C100" s="5" t="n">
        <v>237</v>
      </c>
      <c r="D100" s="4" t="inlineStr">
        <is>
          <t>W·m⁻¹·K⁻¹</t>
        </is>
      </c>
      <c r="E100" s="4" t="inlineStr">
        <is>
          <t>Engineering</t>
        </is>
      </c>
      <c r="F100" s="6" t="inlineStr">
        <is>
          <t>N</t>
        </is>
      </c>
      <c r="G100" s="4" t="inlineStr">
        <is>
          <t>1100 alloy at 25°C</t>
        </is>
      </c>
    </row>
    <row r="101">
      <c r="A101" s="12" t="inlineStr">
        <is>
          <t>k_Cu</t>
        </is>
      </c>
      <c r="B101" s="8" t="inlineStr">
        <is>
          <t>Thermal conductivity of copper</t>
        </is>
      </c>
      <c r="C101" s="9" t="n">
        <v>401</v>
      </c>
      <c r="D101" s="8" t="inlineStr">
        <is>
          <t>W·m⁻¹·K⁻¹</t>
        </is>
      </c>
      <c r="E101" s="8" t="inlineStr">
        <is>
          <t>Engineering</t>
        </is>
      </c>
      <c r="F101" s="10" t="inlineStr">
        <is>
          <t>N</t>
        </is>
      </c>
      <c r="G101" s="8" t="inlineStr">
        <is>
          <t>Pure copper at 25°C</t>
        </is>
      </c>
    </row>
    <row r="102">
      <c r="A102" s="11" t="inlineStr">
        <is>
          <t>k_air</t>
        </is>
      </c>
      <c r="B102" s="4" t="inlineStr">
        <is>
          <t>Thermal conductivity of dry air (25°C)</t>
        </is>
      </c>
      <c r="C102" s="5" t="n">
        <v>0.02551</v>
      </c>
      <c r="D102" s="4" t="inlineStr">
        <is>
          <t>W·m⁻¹·K⁻¹</t>
        </is>
      </c>
      <c r="E102" s="4" t="inlineStr">
        <is>
          <t>Engineering</t>
        </is>
      </c>
      <c r="F102" s="6" t="inlineStr">
        <is>
          <t>N</t>
        </is>
      </c>
      <c r="G102" s="4" t="inlineStr">
        <is>
          <t>At 25°C, 1 atm; NIST Webbook</t>
        </is>
      </c>
    </row>
    <row r="103">
      <c r="A103" s="12" t="inlineStr">
        <is>
          <t>v_sound</t>
        </is>
      </c>
      <c r="B103" s="8" t="inlineStr">
        <is>
          <t>Speed of sound in dry air (20°C, 1 atm)</t>
        </is>
      </c>
      <c r="C103" s="9" t="n">
        <v>343.2</v>
      </c>
      <c r="D103" s="8" t="inlineStr">
        <is>
          <t>m·s⁻¹</t>
        </is>
      </c>
      <c r="E103" s="8" t="inlineStr">
        <is>
          <t>Engineering</t>
        </is>
      </c>
      <c r="F103" s="10" t="inlineStr">
        <is>
          <t>N</t>
        </is>
      </c>
      <c r="G103" s="8" t="inlineStr">
        <is>
          <t>v = √(γRT/M_air); 343.2 m/s at 20°C</t>
        </is>
      </c>
    </row>
    <row r="104">
      <c r="A104" s="11" t="inlineStr">
        <is>
          <t>v_sound_water</t>
        </is>
      </c>
      <c r="B104" s="4" t="inlineStr">
        <is>
          <t>Speed of sound in liquid water (25°C)</t>
        </is>
      </c>
      <c r="C104" s="5" t="n">
        <v>1497</v>
      </c>
      <c r="D104" s="4" t="inlineStr">
        <is>
          <t>m·s⁻¹</t>
        </is>
      </c>
      <c r="E104" s="4" t="inlineStr">
        <is>
          <t>Engineering</t>
        </is>
      </c>
      <c r="F104" s="6" t="inlineStr">
        <is>
          <t>N</t>
        </is>
      </c>
      <c r="G104" s="4" t="inlineStr">
        <is>
          <t>At 25°C, 1 atm; varies strongly with T</t>
        </is>
      </c>
    </row>
    <row r="105">
      <c r="A105" s="12" t="inlineStr">
        <is>
          <t>R_chem</t>
        </is>
      </c>
      <c r="B105" s="8" t="inlineStr">
        <is>
          <t>Universal gas constant (ChE notation)</t>
        </is>
      </c>
      <c r="C105" s="9" t="n">
        <v>8.314462618</v>
      </c>
      <c r="D105" s="8" t="inlineStr">
        <is>
          <t>J·mol⁻¹·K⁻¹</t>
        </is>
      </c>
      <c r="E105" s="8" t="inlineStr">
        <is>
          <t>Chemical engineering</t>
        </is>
      </c>
      <c r="F105" s="10" t="inlineStr">
        <is>
          <t>Y</t>
        </is>
      </c>
      <c r="G105" s="8" t="inlineStr">
        <is>
          <t>Same as R; alias used in ChE thermodynamics</t>
        </is>
      </c>
    </row>
    <row r="106">
      <c r="A106" s="11" t="inlineStr">
        <is>
          <t>R_psi</t>
        </is>
      </c>
      <c r="B106" s="4" t="inlineStr">
        <is>
          <t>Gas constant in psi·ft³ units</t>
        </is>
      </c>
      <c r="C106" s="5" t="n">
        <v>10.7316</v>
      </c>
      <c r="D106" s="4" t="inlineStr">
        <is>
          <t>psi·ft³·lbmol⁻¹·°R⁻¹</t>
        </is>
      </c>
      <c r="E106" s="4" t="inlineStr">
        <is>
          <t>Chemical engineering</t>
        </is>
      </c>
      <c r="F106" s="6" t="inlineStr">
        <is>
          <t>N</t>
        </is>
      </c>
      <c r="G106" s="4" t="inlineStr">
        <is>
          <t>R = 8.314 / (6894.757 × 0.028317 × 453.59 × 5/9)⁻¹</t>
        </is>
      </c>
    </row>
    <row r="107">
      <c r="A107" s="12" t="inlineStr">
        <is>
          <t>R_atm</t>
        </is>
      </c>
      <c r="B107" s="8" t="inlineStr">
        <is>
          <t>Gas constant in atm·L units</t>
        </is>
      </c>
      <c r="C107" s="9" t="n">
        <v>0.08205736608096</v>
      </c>
      <c r="D107" s="8" t="inlineStr">
        <is>
          <t>atm·L·mol⁻¹·K⁻¹</t>
        </is>
      </c>
      <c r="E107" s="8" t="inlineStr">
        <is>
          <t>Chemical engineering</t>
        </is>
      </c>
      <c r="F107" s="10" t="inlineStr">
        <is>
          <t>Y</t>
        </is>
      </c>
      <c r="G107" s="8" t="inlineStr">
        <is>
          <t>R/101325/0.001; exact</t>
        </is>
      </c>
    </row>
    <row r="108">
      <c r="A108" s="11" t="inlineStr">
        <is>
          <t>R_bar</t>
        </is>
      </c>
      <c r="B108" s="4" t="inlineStr">
        <is>
          <t>Gas constant in bar·L units</t>
        </is>
      </c>
      <c r="C108" s="5" t="n">
        <v>0.083144626181532</v>
      </c>
      <c r="D108" s="4" t="inlineStr">
        <is>
          <t>bar·L·mol⁻¹·K⁻¹</t>
        </is>
      </c>
      <c r="E108" s="4" t="inlineStr">
        <is>
          <t>Chemical engineering</t>
        </is>
      </c>
      <c r="F108" s="6" t="inlineStr">
        <is>
          <t>Y</t>
        </is>
      </c>
      <c r="G108" s="4" t="inlineStr">
        <is>
          <t>R/100000/0.001; exact</t>
        </is>
      </c>
    </row>
    <row r="109">
      <c r="A109" s="12" t="inlineStr">
        <is>
          <t>R_mmHg</t>
        </is>
      </c>
      <c r="B109" s="8" t="inlineStr">
        <is>
          <t>Gas constant in mmHg·L units</t>
        </is>
      </c>
      <c r="C109" s="9" t="n">
        <v>62.36367</v>
      </c>
      <c r="D109" s="8" t="inlineStr">
        <is>
          <t>mmHg·L·mol⁻¹·K⁻¹</t>
        </is>
      </c>
      <c r="E109" s="8" t="inlineStr">
        <is>
          <t>Chemical engineering</t>
        </is>
      </c>
      <c r="F109" s="10" t="inlineStr">
        <is>
          <t>N</t>
        </is>
      </c>
      <c r="G109" s="8" t="inlineStr">
        <is>
          <t>R/133.322/0.001</t>
        </is>
      </c>
    </row>
    <row r="110">
      <c r="A110" s="11" t="inlineStr">
        <is>
          <t>ε_vac</t>
        </is>
      </c>
      <c r="B110" s="4" t="inlineStr">
        <is>
          <t>Permittivity of free space (electrochemistry)</t>
        </is>
      </c>
      <c r="C110" s="5" t="n">
        <v>8.854187812800001e-12</v>
      </c>
      <c r="D110" s="4" t="inlineStr">
        <is>
          <t>F·m⁻¹</t>
        </is>
      </c>
      <c r="E110" s="4" t="inlineStr">
        <is>
          <t>Chemical engineering</t>
        </is>
      </c>
      <c r="F110" s="6" t="inlineStr">
        <is>
          <t>N</t>
        </is>
      </c>
      <c r="G110" s="4" t="inlineStr">
        <is>
          <t>Same as ε₀; relevant for electrochemical calculations</t>
        </is>
      </c>
    </row>
    <row r="111">
      <c r="A111" s="12" t="inlineStr">
        <is>
          <t>N_L</t>
        </is>
      </c>
      <c r="B111" s="8" t="inlineStr">
        <is>
          <t>Loschmidt constant (STP)</t>
        </is>
      </c>
      <c r="C111" s="9" t="n">
        <v>2.6867774e+25</v>
      </c>
      <c r="D111" s="8" t="inlineStr">
        <is>
          <t>m⁻³</t>
        </is>
      </c>
      <c r="E111" s="8" t="inlineStr">
        <is>
          <t>Chemical engineering</t>
        </is>
      </c>
      <c r="F111" s="10" t="inlineStr">
        <is>
          <t>Y</t>
        </is>
      </c>
      <c r="G111" s="8" t="inlineStr">
        <is>
          <t>Number density of ideal gas at STP; exact post-2019</t>
        </is>
      </c>
    </row>
    <row r="112">
      <c r="A112" s="11" t="inlineStr">
        <is>
          <t>N_L_IUPAC</t>
        </is>
      </c>
      <c r="B112" s="4" t="inlineStr">
        <is>
          <t>Loschmidt constant (IUPAC STP, 100 kPa)</t>
        </is>
      </c>
      <c r="C112" s="5" t="n">
        <v>2.6516467e+25</v>
      </c>
      <c r="D112" s="4" t="inlineStr">
        <is>
          <t>m⁻³</t>
        </is>
      </c>
      <c r="E112" s="4" t="inlineStr">
        <is>
          <t>Chemical engineering</t>
        </is>
      </c>
      <c r="F112" s="6" t="inlineStr">
        <is>
          <t>Y</t>
        </is>
      </c>
      <c r="G112" s="4" t="inlineStr">
        <is>
          <t>At 0°C, 100 kPa; exact</t>
        </is>
      </c>
    </row>
    <row r="113">
      <c r="A113" s="12" t="inlineStr">
        <is>
          <t>E_fission</t>
        </is>
      </c>
      <c r="B113" s="8" t="inlineStr">
        <is>
          <t>Energy released per ²³⁵U fission (approx.)</t>
        </is>
      </c>
      <c r="C113" s="9" t="n">
        <v>3.2e-11</v>
      </c>
      <c r="D113" s="8" t="inlineStr">
        <is>
          <t>J</t>
        </is>
      </c>
      <c r="E113" s="8" t="inlineStr">
        <is>
          <t>Nuclear</t>
        </is>
      </c>
      <c r="F113" s="10" t="inlineStr">
        <is>
          <t>N</t>
        </is>
      </c>
      <c r="G113" s="8" t="inlineStr">
        <is>
          <t>≈200 MeV; varies by fission products; engineering estimate</t>
        </is>
      </c>
    </row>
    <row r="114">
      <c r="A114" s="11" t="inlineStr">
        <is>
          <t>E_fusion</t>
        </is>
      </c>
      <c r="B114" s="4" t="inlineStr">
        <is>
          <t>Energy released per D-T fusion</t>
        </is>
      </c>
      <c r="C114" s="5" t="n">
        <v>2.818e-12</v>
      </c>
      <c r="D114" s="4" t="inlineStr">
        <is>
          <t>J</t>
        </is>
      </c>
      <c r="E114" s="4" t="inlineStr">
        <is>
          <t>Nuclear</t>
        </is>
      </c>
      <c r="F114" s="6" t="inlineStr">
        <is>
          <t>N</t>
        </is>
      </c>
      <c r="G114" s="4" t="inlineStr">
        <is>
          <t>≈17.6 MeV per D-T reaction</t>
        </is>
      </c>
    </row>
    <row r="115">
      <c r="A115" s="12" t="inlineStr">
        <is>
          <t>m_eV</t>
        </is>
      </c>
      <c r="B115" s="8" t="inlineStr">
        <is>
          <t>Electron-volt equivalent mass (E=mc²)</t>
        </is>
      </c>
      <c r="C115" s="9" t="n">
        <v>1.78266192e-36</v>
      </c>
      <c r="D115" s="8" t="inlineStr">
        <is>
          <t>kg</t>
        </is>
      </c>
      <c r="E115" s="8" t="inlineStr">
        <is>
          <t>Nuclear</t>
        </is>
      </c>
      <c r="F115" s="10" t="inlineStr">
        <is>
          <t>Y</t>
        </is>
      </c>
      <c r="G115" s="8" t="inlineStr">
        <is>
          <t>1 eV / c² ; exact</t>
        </is>
      </c>
    </row>
    <row r="116">
      <c r="A116" s="11" t="inlineStr">
        <is>
          <t>E_rest_e</t>
        </is>
      </c>
      <c r="B116" s="4" t="inlineStr">
        <is>
          <t>Rest energy of electron</t>
        </is>
      </c>
      <c r="C116" s="5" t="n">
        <v>8.18710565e-14</v>
      </c>
      <c r="D116" s="4" t="inlineStr">
        <is>
          <t>J</t>
        </is>
      </c>
      <c r="E116" s="4" t="inlineStr">
        <is>
          <t>Nuclear</t>
        </is>
      </c>
      <c r="F116" s="6" t="inlineStr">
        <is>
          <t>Y</t>
        </is>
      </c>
      <c r="G116" s="4" t="inlineStr">
        <is>
          <t>m_e c² = 0.510 999 MeV; exact</t>
        </is>
      </c>
    </row>
    <row r="117">
      <c r="A117" s="12" t="inlineStr">
        <is>
          <t>E_rest_p</t>
        </is>
      </c>
      <c r="B117" s="8" t="inlineStr">
        <is>
          <t>Rest energy of proton</t>
        </is>
      </c>
      <c r="C117" s="9" t="n">
        <v>1.50327761779e-10</v>
      </c>
      <c r="D117" s="8" t="inlineStr">
        <is>
          <t>J</t>
        </is>
      </c>
      <c r="E117" s="8" t="inlineStr">
        <is>
          <t>Nuclear</t>
        </is>
      </c>
      <c r="F117" s="10" t="inlineStr">
        <is>
          <t>N</t>
        </is>
      </c>
      <c r="G117" s="8" t="inlineStr">
        <is>
          <t>m_p c² = 938.272 MeV; CODATA 2018</t>
        </is>
      </c>
    </row>
    <row r="118">
      <c r="A118" s="11" t="inlineStr">
        <is>
          <t>π</t>
        </is>
      </c>
      <c r="B118" s="4" t="inlineStr">
        <is>
          <t>Pi</t>
        </is>
      </c>
      <c r="C118" s="5" t="n">
        <v>3.141592653589793</v>
      </c>
      <c r="D118" s="4" t="inlineStr">
        <is>
          <t>dimensionless</t>
        </is>
      </c>
      <c r="E118" s="4" t="inlineStr">
        <is>
          <t>Mathematical</t>
        </is>
      </c>
      <c r="F118" s="6" t="inlineStr">
        <is>
          <t>Y</t>
        </is>
      </c>
      <c r="G118" s="4" t="inlineStr">
        <is>
          <t>Ratio of circumference to diameter</t>
        </is>
      </c>
    </row>
    <row r="119">
      <c r="A119" s="12" t="inlineStr">
        <is>
          <t>e_euler</t>
        </is>
      </c>
      <c r="B119" s="8" t="inlineStr">
        <is>
          <t>Euler's number</t>
        </is>
      </c>
      <c r="C119" s="9" t="n">
        <v>2.718281828459045</v>
      </c>
      <c r="D119" s="8" t="inlineStr">
        <is>
          <t>dimensionless</t>
        </is>
      </c>
      <c r="E119" s="8" t="inlineStr">
        <is>
          <t>Mathematical</t>
        </is>
      </c>
      <c r="F119" s="10" t="inlineStr">
        <is>
          <t>Y</t>
        </is>
      </c>
      <c r="G119" s="8" t="inlineStr">
        <is>
          <t>Base of natural logarithm</t>
        </is>
      </c>
    </row>
    <row r="120">
      <c r="A120" s="11" t="inlineStr">
        <is>
          <t>ln2</t>
        </is>
      </c>
      <c r="B120" s="4" t="inlineStr">
        <is>
          <t>Natural logarithm of 2</t>
        </is>
      </c>
      <c r="C120" s="5" t="n">
        <v>0.6931471805599453</v>
      </c>
      <c r="D120" s="4" t="inlineStr">
        <is>
          <t>dimensionless</t>
        </is>
      </c>
      <c r="E120" s="4" t="inlineStr">
        <is>
          <t>Mathematical</t>
        </is>
      </c>
      <c r="F120" s="6" t="inlineStr">
        <is>
          <t>Y</t>
        </is>
      </c>
      <c r="G120" s="4" t="inlineStr">
        <is>
          <t>Used in half-life calculations: t½ = ln2 / λ</t>
        </is>
      </c>
    </row>
    <row r="121">
      <c r="A121" s="12" t="inlineStr">
        <is>
          <t>log10_e</t>
        </is>
      </c>
      <c r="B121" s="8" t="inlineStr">
        <is>
          <t>log₁₀(e)</t>
        </is>
      </c>
      <c r="C121" s="9" t="n">
        <v>0.4342944819032518</v>
      </c>
      <c r="D121" s="8" t="inlineStr">
        <is>
          <t>dimensionless</t>
        </is>
      </c>
      <c r="E121" s="8" t="inlineStr">
        <is>
          <t>Mathematical</t>
        </is>
      </c>
      <c r="F121" s="10" t="inlineStr">
        <is>
          <t>Y</t>
        </is>
      </c>
      <c r="G121" s="8" t="inlineStr">
        <is>
          <t>Conversion factor between ln and log₁₀</t>
        </is>
      </c>
    </row>
    <row r="122">
      <c r="A122" s="11" t="inlineStr">
        <is>
          <t>sqrt2</t>
        </is>
      </c>
      <c r="B122" s="4" t="inlineStr">
        <is>
          <t>Square root of 2</t>
        </is>
      </c>
      <c r="C122" s="5" t="n">
        <v>1.414213562373095</v>
      </c>
      <c r="D122" s="4" t="inlineStr">
        <is>
          <t>dimensionless</t>
        </is>
      </c>
      <c r="E122" s="4" t="inlineStr">
        <is>
          <t>Mathematical</t>
        </is>
      </c>
      <c r="F122" s="6" t="inlineStr">
        <is>
          <t>Y</t>
        </is>
      </c>
      <c r="G122" s="4" t="inlineStr"/>
    </row>
    <row r="123">
      <c r="A123" s="12" t="inlineStr">
        <is>
          <t>phi</t>
        </is>
      </c>
      <c r="B123" s="8" t="inlineStr">
        <is>
          <t>Golden ratio</t>
        </is>
      </c>
      <c r="C123" s="9" t="n">
        <v>1.618033988749895</v>
      </c>
      <c r="D123" s="8" t="inlineStr">
        <is>
          <t>dimensionless</t>
        </is>
      </c>
      <c r="E123" s="8" t="inlineStr">
        <is>
          <t>Mathematical</t>
        </is>
      </c>
      <c r="F123" s="10" t="inlineStr">
        <is>
          <t>Y</t>
        </is>
      </c>
      <c r="G123" s="8" t="inlineStr">
        <is>
          <t>(1+√5)/2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20" customWidth="1" min="4" max="4"/>
    <col width="18" customWidth="1" min="5" max="5"/>
    <col width="20" customWidth="1" min="6" max="6"/>
    <col width="22" customWidth="1" min="7" max="7"/>
    <col width="22" customWidth="1" min="8" max="8"/>
    <col width="22" customWidth="1" min="9" max="9"/>
  </cols>
  <sheetData>
    <row r="1" ht="28" customHeight="1">
      <c r="A1" s="1" t="inlineStr">
        <is>
          <t>constant</t>
        </is>
      </c>
      <c r="B1" s="1" t="inlineStr">
        <is>
          <t>SI_value</t>
        </is>
      </c>
      <c r="C1" s="1" t="inlineStr">
        <is>
          <t>SI_units</t>
        </is>
      </c>
      <c r="D1" s="1" t="inlineStr">
        <is>
          <t>value_cgs</t>
        </is>
      </c>
      <c r="E1" s="1" t="inlineStr">
        <is>
          <t>cgs_units</t>
        </is>
      </c>
      <c r="F1" s="1" t="inlineStr">
        <is>
          <t>value_imperial</t>
        </is>
      </c>
      <c r="G1" s="1" t="inlineStr">
        <is>
          <t>imperial_units</t>
        </is>
      </c>
      <c r="H1" s="1" t="inlineStr">
        <is>
          <t>value_other</t>
        </is>
      </c>
      <c r="I1" s="1" t="inlineStr">
        <is>
          <t>other_unit_system</t>
        </is>
      </c>
    </row>
    <row r="2">
      <c r="A2" s="8" t="inlineStr">
        <is>
          <t>Boltzmann constant (k_B)</t>
        </is>
      </c>
      <c r="B2" s="13" t="inlineStr">
        <is>
          <t>1.380649 × 10⁻²³</t>
        </is>
      </c>
      <c r="C2" s="8" t="inlineStr">
        <is>
          <t>J·K⁻¹</t>
        </is>
      </c>
      <c r="D2" s="13" t="inlineStr">
        <is>
          <t>1.380649 × 10⁻¹⁶</t>
        </is>
      </c>
      <c r="E2" s="8" t="inlineStr">
        <is>
          <t>erg·K⁻¹</t>
        </is>
      </c>
      <c r="F2" s="13" t="inlineStr">
        <is>
          <t>7.243 × 10⁻²³</t>
        </is>
      </c>
      <c r="G2" s="8" t="inlineStr">
        <is>
          <t>ft·lbf·°R⁻¹</t>
        </is>
      </c>
      <c r="H2" s="13" t="inlineStr">
        <is>
          <t>8.617333 × 10⁻⁵</t>
        </is>
      </c>
      <c r="I2" s="8" t="inlineStr">
        <is>
          <t>eV·K⁻¹</t>
        </is>
      </c>
    </row>
    <row r="3">
      <c r="A3" s="4" t="inlineStr">
        <is>
          <t>Universal gas constant (R)</t>
        </is>
      </c>
      <c r="B3" s="14" t="inlineStr">
        <is>
          <t>8.314462618</t>
        </is>
      </c>
      <c r="C3" s="4" t="inlineStr">
        <is>
          <t>J·mol⁻¹·K⁻¹</t>
        </is>
      </c>
      <c r="D3" s="14" t="inlineStr">
        <is>
          <t>8.314462618 × 10⁷</t>
        </is>
      </c>
      <c r="E3" s="4" t="inlineStr">
        <is>
          <t>erg·mol⁻¹·K⁻¹</t>
        </is>
      </c>
      <c r="F3" s="14" t="inlineStr">
        <is>
          <t>1.98588</t>
        </is>
      </c>
      <c r="G3" s="4" t="inlineStr">
        <is>
          <t>BTU·lbmol⁻¹·°R⁻¹</t>
        </is>
      </c>
      <c r="H3" s="14" t="inlineStr">
        <is>
          <t>0.082057</t>
        </is>
      </c>
      <c r="I3" s="4" t="inlineStr">
        <is>
          <t>atm·L·mol⁻¹·K⁻¹</t>
        </is>
      </c>
    </row>
    <row r="4">
      <c r="A4" s="8" t="inlineStr">
        <is>
          <t>Avogadro constant (N_A)</t>
        </is>
      </c>
      <c r="B4" s="13" t="inlineStr">
        <is>
          <t>6.02214076 × 10²³</t>
        </is>
      </c>
      <c r="C4" s="8" t="inlineStr">
        <is>
          <t>mol⁻¹</t>
        </is>
      </c>
      <c r="D4" s="13" t="inlineStr">
        <is>
          <t>6.02214076 × 10²³</t>
        </is>
      </c>
      <c r="E4" s="8" t="inlineStr">
        <is>
          <t>mol⁻¹</t>
        </is>
      </c>
      <c r="F4" s="13" t="inlineStr">
        <is>
          <t>2.73160 × 10²⁶</t>
        </is>
      </c>
      <c r="G4" s="8" t="inlineStr">
        <is>
          <t>lbmol⁻¹</t>
        </is>
      </c>
      <c r="H4" s="13" t="inlineStr">
        <is>
          <t>—</t>
        </is>
      </c>
      <c r="I4" s="8" t="inlineStr">
        <is>
          <t>—</t>
        </is>
      </c>
    </row>
    <row r="5">
      <c r="A5" s="4" t="inlineStr">
        <is>
          <t>Faraday constant (F)</t>
        </is>
      </c>
      <c r="B5" s="14" t="inlineStr">
        <is>
          <t>96485.332</t>
        </is>
      </c>
      <c r="C5" s="4" t="inlineStr">
        <is>
          <t>C·mol⁻¹</t>
        </is>
      </c>
      <c r="D5" s="14" t="inlineStr">
        <is>
          <t>96485.332</t>
        </is>
      </c>
      <c r="E5" s="4" t="inlineStr">
        <is>
          <t>C·mol⁻¹</t>
        </is>
      </c>
      <c r="F5" s="14" t="inlineStr">
        <is>
          <t>26.801</t>
        </is>
      </c>
      <c r="G5" s="4" t="inlineStr">
        <is>
          <t>A·h·mol⁻¹</t>
        </is>
      </c>
      <c r="H5" s="14" t="inlineStr">
        <is>
          <t>23060.9</t>
        </is>
      </c>
      <c r="I5" s="4" t="inlineStr">
        <is>
          <t>cal·V⁻¹·mol⁻¹</t>
        </is>
      </c>
    </row>
    <row r="6">
      <c r="A6" s="8" t="inlineStr">
        <is>
          <t>Planck constant (h)</t>
        </is>
      </c>
      <c r="B6" s="13" t="inlineStr">
        <is>
          <t>6.62607015 × 10⁻³⁴</t>
        </is>
      </c>
      <c r="C6" s="8" t="inlineStr">
        <is>
          <t>J·s</t>
        </is>
      </c>
      <c r="D6" s="13" t="inlineStr">
        <is>
          <t>6.62607015 × 10⁻²⁷</t>
        </is>
      </c>
      <c r="E6" s="8" t="inlineStr">
        <is>
          <t>erg·s</t>
        </is>
      </c>
      <c r="F6" s="13" t="inlineStr">
        <is>
          <t>4.135667 × 10⁻¹⁵</t>
        </is>
      </c>
      <c r="G6" s="8" t="inlineStr">
        <is>
          <t>eV·s</t>
        </is>
      </c>
      <c r="H6" s="13" t="inlineStr">
        <is>
          <t>—</t>
        </is>
      </c>
      <c r="I6" s="8" t="inlineStr">
        <is>
          <t>—</t>
        </is>
      </c>
    </row>
    <row r="7">
      <c r="A7" s="4" t="inlineStr">
        <is>
          <t>Speed of light (c)</t>
        </is>
      </c>
      <c r="B7" s="14" t="inlineStr">
        <is>
          <t>299 792 458</t>
        </is>
      </c>
      <c r="C7" s="4" t="inlineStr">
        <is>
          <t>m·s⁻¹</t>
        </is>
      </c>
      <c r="D7" s="14" t="inlineStr">
        <is>
          <t>2.99792458 × 10¹⁰</t>
        </is>
      </c>
      <c r="E7" s="4" t="inlineStr">
        <is>
          <t>cm·s⁻¹</t>
        </is>
      </c>
      <c r="F7" s="14" t="inlineStr">
        <is>
          <t>983 571 056</t>
        </is>
      </c>
      <c r="G7" s="4" t="inlineStr">
        <is>
          <t>ft·s⁻¹</t>
        </is>
      </c>
      <c r="H7" s="14" t="inlineStr">
        <is>
          <t>1.079 × 10⁹</t>
        </is>
      </c>
      <c r="I7" s="4" t="inlineStr">
        <is>
          <t>km·h⁻¹</t>
        </is>
      </c>
    </row>
    <row r="8">
      <c r="A8" s="8" t="inlineStr">
        <is>
          <t>Stefan–Boltzmann constant (σ)</t>
        </is>
      </c>
      <c r="B8" s="13" t="inlineStr">
        <is>
          <t>5.670374419 × 10⁻⁸</t>
        </is>
      </c>
      <c r="C8" s="8" t="inlineStr">
        <is>
          <t>W·m⁻²·K⁻⁴</t>
        </is>
      </c>
      <c r="D8" s="13" t="inlineStr">
        <is>
          <t>5.670374419 × 10⁻⁵</t>
        </is>
      </c>
      <c r="E8" s="8" t="inlineStr">
        <is>
          <t>erg·s⁻¹·cm⁻²·K⁻⁴</t>
        </is>
      </c>
      <c r="F8" s="13" t="inlineStr">
        <is>
          <t>0.1714 × 10⁻⁸</t>
        </is>
      </c>
      <c r="G8" s="8" t="inlineStr">
        <is>
          <t>BTU·h⁻¹·ft⁻²·°R⁻⁴</t>
        </is>
      </c>
      <c r="H8" s="13" t="inlineStr">
        <is>
          <t>—</t>
        </is>
      </c>
      <c r="I8" s="8" t="inlineStr">
        <is>
          <t>—</t>
        </is>
      </c>
    </row>
    <row r="9">
      <c r="A9" s="4" t="inlineStr">
        <is>
          <t>Gravitational acceleration (g_n)</t>
        </is>
      </c>
      <c r="B9" s="14" t="inlineStr">
        <is>
          <t>9.80665</t>
        </is>
      </c>
      <c r="C9" s="4" t="inlineStr">
        <is>
          <t>m·s⁻²</t>
        </is>
      </c>
      <c r="D9" s="14" t="inlineStr">
        <is>
          <t>980.665</t>
        </is>
      </c>
      <c r="E9" s="4" t="inlineStr">
        <is>
          <t>cm·s⁻²  (Gal)</t>
        </is>
      </c>
      <c r="F9" s="14" t="inlineStr">
        <is>
          <t>32.17405</t>
        </is>
      </c>
      <c r="G9" s="4" t="inlineStr">
        <is>
          <t>ft·s⁻²</t>
        </is>
      </c>
      <c r="H9" s="14" t="inlineStr">
        <is>
          <t>35.30394</t>
        </is>
      </c>
      <c r="I9" s="4" t="inlineStr">
        <is>
          <t>km·h⁻¹·s⁻¹</t>
        </is>
      </c>
    </row>
    <row r="10">
      <c r="A10" s="8" t="inlineStr">
        <is>
          <t>Newton's grav. constant (G)</t>
        </is>
      </c>
      <c r="B10" s="13" t="inlineStr">
        <is>
          <t>6.67430 × 10⁻¹¹</t>
        </is>
      </c>
      <c r="C10" s="8" t="inlineStr">
        <is>
          <t>m³·kg⁻¹·s⁻²</t>
        </is>
      </c>
      <c r="D10" s="13" t="inlineStr">
        <is>
          <t>6.67430 × 10⁻⁸</t>
        </is>
      </c>
      <c r="E10" s="8" t="inlineStr">
        <is>
          <t>cm³·g⁻¹·s⁻²</t>
        </is>
      </c>
      <c r="F10" s="13" t="inlineStr">
        <is>
          <t>3.439 × 10⁻⁸</t>
        </is>
      </c>
      <c r="G10" s="8" t="inlineStr">
        <is>
          <t>ft³·slug⁻¹·s⁻²</t>
        </is>
      </c>
      <c r="H10" s="13" t="inlineStr">
        <is>
          <t>—</t>
        </is>
      </c>
      <c r="I10" s="8" t="inlineStr">
        <is>
          <t>—</t>
        </is>
      </c>
    </row>
    <row r="11">
      <c r="A11" s="4" t="inlineStr">
        <is>
          <t>Atomic mass unit (u)</t>
        </is>
      </c>
      <c r="B11" s="14" t="inlineStr">
        <is>
          <t>1.66053907 × 10⁻²⁷</t>
        </is>
      </c>
      <c r="C11" s="4" t="inlineStr">
        <is>
          <t>kg</t>
        </is>
      </c>
      <c r="D11" s="14" t="inlineStr">
        <is>
          <t>1.66053907 × 10⁻²⁴</t>
        </is>
      </c>
      <c r="E11" s="4" t="inlineStr">
        <is>
          <t>g</t>
        </is>
      </c>
      <c r="F11" s="14" t="inlineStr">
        <is>
          <t>3.66086 × 10⁻²⁷</t>
        </is>
      </c>
      <c r="G11" s="4" t="inlineStr">
        <is>
          <t>lb</t>
        </is>
      </c>
      <c r="H11" s="14" t="inlineStr">
        <is>
          <t>931.494</t>
        </is>
      </c>
      <c r="I11" s="4" t="inlineStr">
        <is>
          <t>MeV·c⁻²</t>
        </is>
      </c>
    </row>
    <row r="12">
      <c r="A12" s="8" t="inlineStr">
        <is>
          <t>Elementary charge (e)</t>
        </is>
      </c>
      <c r="B12" s="13" t="inlineStr">
        <is>
          <t>1.602176634 × 10⁻¹⁹</t>
        </is>
      </c>
      <c r="C12" s="8" t="inlineStr">
        <is>
          <t>C</t>
        </is>
      </c>
      <c r="D12" s="13" t="inlineStr">
        <is>
          <t>4.80326 × 10⁻¹⁰</t>
        </is>
      </c>
      <c r="E12" s="8" t="inlineStr">
        <is>
          <t>esu (statcoulombs)</t>
        </is>
      </c>
      <c r="F12" s="13" t="inlineStr">
        <is>
          <t>4.44444 × 10⁻²⁰</t>
        </is>
      </c>
      <c r="G12" s="8" t="inlineStr">
        <is>
          <t>A·h</t>
        </is>
      </c>
      <c r="H12" s="13" t="inlineStr">
        <is>
          <t>1</t>
        </is>
      </c>
      <c r="I12" s="8" t="inlineStr">
        <is>
          <t>(elementary charge)</t>
        </is>
      </c>
    </row>
    <row r="13">
      <c r="A13" s="4" t="inlineStr">
        <is>
          <t>Astronomical unit (au)</t>
        </is>
      </c>
      <c r="B13" s="14" t="inlineStr">
        <is>
          <t>1.495978707 × 10¹¹</t>
        </is>
      </c>
      <c r="C13" s="4" t="inlineStr">
        <is>
          <t>m</t>
        </is>
      </c>
      <c r="D13" s="14" t="inlineStr">
        <is>
          <t>1.495978707 × 10¹³</t>
        </is>
      </c>
      <c r="E13" s="4" t="inlineStr">
        <is>
          <t>cm</t>
        </is>
      </c>
      <c r="F13" s="14" t="inlineStr">
        <is>
          <t>9.2956 × 10⁷</t>
        </is>
      </c>
      <c r="G13" s="4" t="inlineStr">
        <is>
          <t>miles</t>
        </is>
      </c>
      <c r="H13" s="14" t="inlineStr">
        <is>
          <t>499.004</t>
        </is>
      </c>
      <c r="I13" s="4" t="inlineStr">
        <is>
          <t>light-seconds</t>
        </is>
      </c>
    </row>
    <row r="14">
      <c r="A14" s="8" t="inlineStr">
        <is>
          <t>Wien's displacement constant (b)</t>
        </is>
      </c>
      <c r="B14" s="13" t="inlineStr">
        <is>
          <t>2.897771955 × 10⁻³</t>
        </is>
      </c>
      <c r="C14" s="8" t="inlineStr">
        <is>
          <t>m·K</t>
        </is>
      </c>
      <c r="D14" s="13" t="inlineStr">
        <is>
          <t>0.2897772</t>
        </is>
      </c>
      <c r="E14" s="8" t="inlineStr">
        <is>
          <t>cm·K</t>
        </is>
      </c>
      <c r="F14" s="13" t="inlineStr">
        <is>
          <t>5.2165 × 10⁻³</t>
        </is>
      </c>
      <c r="G14" s="8" t="inlineStr">
        <is>
          <t>ft·K</t>
        </is>
      </c>
      <c r="H14" s="13" t="inlineStr">
        <is>
          <t>2897.77</t>
        </is>
      </c>
      <c r="I14" s="8" t="inlineStr">
        <is>
          <t>μm·K</t>
        </is>
      </c>
    </row>
    <row r="15">
      <c r="A15" s="4" t="inlineStr">
        <is>
          <t>Molar gas constant in BTU</t>
        </is>
      </c>
      <c r="B15" s="14" t="inlineStr">
        <is>
          <t>1.98588</t>
        </is>
      </c>
      <c r="C15" s="4" t="inlineStr">
        <is>
          <t>BTU·lbmol⁻¹·°R⁻¹</t>
        </is>
      </c>
      <c r="D15" s="14" t="inlineStr">
        <is>
          <t>—</t>
        </is>
      </c>
      <c r="E15" s="4" t="inlineStr">
        <is>
          <t>—</t>
        </is>
      </c>
      <c r="F15" s="14" t="inlineStr">
        <is>
          <t>10.7316</t>
        </is>
      </c>
      <c r="G15" s="4" t="inlineStr">
        <is>
          <t>psi·ft³·lbmol⁻¹·°R⁻¹</t>
        </is>
      </c>
      <c r="H15" s="14" t="inlineStr">
        <is>
          <t>0.7302</t>
        </is>
      </c>
      <c r="I15" s="4" t="inlineStr">
        <is>
          <t>atm·ft³·lbmol⁻¹·°R⁻¹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  <col width="55" customWidth="1" min="4" max="4"/>
  </cols>
  <sheetData>
    <row r="1" ht="28" customHeight="1">
      <c r="A1" s="1" t="inlineStr">
        <is>
          <t>expression</t>
        </is>
      </c>
      <c r="B1" s="1" t="inlineStr">
        <is>
          <t>result</t>
        </is>
      </c>
      <c r="C1" s="1" t="inlineStr">
        <is>
          <t>unit</t>
        </is>
      </c>
      <c r="D1" s="1" t="inlineStr">
        <is>
          <t>use_case</t>
        </is>
      </c>
    </row>
    <row r="2">
      <c r="A2" s="8" t="inlineStr">
        <is>
          <t>R / N_A</t>
        </is>
      </c>
      <c r="B2" s="15" t="inlineStr">
        <is>
          <t>1.380649 × 10⁻²³ J·K⁻¹</t>
        </is>
      </c>
      <c r="C2" s="8">
        <f> k_B</f>
        <v/>
      </c>
      <c r="D2" s="8" t="inlineStr">
        <is>
          <t>Deriving Boltzmann from R</t>
        </is>
      </c>
    </row>
    <row r="3">
      <c r="A3" s="4" t="inlineStr">
        <is>
          <t>N_A × e</t>
        </is>
      </c>
      <c r="B3" s="16" t="inlineStr">
        <is>
          <t>96485.332 C·mol⁻¹</t>
        </is>
      </c>
      <c r="C3" s="4">
        <f> F</f>
        <v/>
      </c>
      <c r="D3" s="4" t="inlineStr">
        <is>
          <t>Deriving Faraday from N_A and e</t>
        </is>
      </c>
    </row>
    <row r="4">
      <c r="A4" s="8" t="inlineStr">
        <is>
          <t>h / (2π)</t>
        </is>
      </c>
      <c r="B4" s="15" t="inlineStr">
        <is>
          <t>1.054572 × 10⁻³⁴ J·s</t>
        </is>
      </c>
      <c r="C4" s="8">
        <f> ħ</f>
        <v/>
      </c>
      <c r="D4" s="8" t="inlineStr">
        <is>
          <t>Reduced Planck</t>
        </is>
      </c>
    </row>
    <row r="5">
      <c r="A5" s="4" t="inlineStr">
        <is>
          <t>2 π h c²</t>
        </is>
      </c>
      <c r="B5" s="16" t="inlineStr">
        <is>
          <t>3.741772 × 10⁻¹⁶ W·m²</t>
        </is>
      </c>
      <c r="C5" s="4">
        <f> c₁</f>
        <v/>
      </c>
      <c r="D5" s="4" t="inlineStr">
        <is>
          <t>First radiation constant</t>
        </is>
      </c>
    </row>
    <row r="6">
      <c r="A6" s="8" t="inlineStr">
        <is>
          <t>h c / k_B</t>
        </is>
      </c>
      <c r="B6" s="15" t="inlineStr">
        <is>
          <t>0.014388 m·K</t>
        </is>
      </c>
      <c r="C6" s="8">
        <f> c₂</f>
        <v/>
      </c>
      <c r="D6" s="8" t="inlineStr">
        <is>
          <t>Second radiation constant</t>
        </is>
      </c>
    </row>
    <row r="7">
      <c r="A7" s="4" t="inlineStr">
        <is>
          <t>2π⁵k_B⁴/(15h³c²)</t>
        </is>
      </c>
      <c r="B7" s="16" t="inlineStr">
        <is>
          <t>5.670374 × 10⁻⁸ W·m⁻²·K⁻⁴</t>
        </is>
      </c>
      <c r="C7" s="4">
        <f> σ</f>
        <v/>
      </c>
      <c r="D7" s="4" t="inlineStr">
        <is>
          <t>Stefan–Boltzmann from fundamentals</t>
        </is>
      </c>
    </row>
    <row r="8">
      <c r="A8" s="8" t="inlineStr">
        <is>
          <t>k_B / e</t>
        </is>
      </c>
      <c r="B8" s="15" t="inlineStr">
        <is>
          <t>8.617333 × 10⁻⁵ V·K⁻¹</t>
        </is>
      </c>
      <c r="C8" s="8" t="inlineStr">
        <is>
          <t>thermal voltage/T</t>
        </is>
      </c>
      <c r="D8" s="8" t="inlineStr">
        <is>
          <t>Thermal voltage factor</t>
        </is>
      </c>
    </row>
    <row r="9">
      <c r="A9" s="4" t="inlineStr">
        <is>
          <t>k_B × 300 / e</t>
        </is>
      </c>
      <c r="B9" s="16" t="inlineStr">
        <is>
          <t>0.025852 V</t>
        </is>
      </c>
      <c r="C9" s="4" t="inlineStr">
        <is>
          <t>at 300 K</t>
        </is>
      </c>
      <c r="D9" s="4" t="inlineStr">
        <is>
          <t>Thermal voltage at room temp</t>
        </is>
      </c>
    </row>
    <row r="10">
      <c r="A10" s="8" t="inlineStr">
        <is>
          <t>√(2RT/M_air)</t>
        </is>
      </c>
      <c r="B10" s="15" t="inlineStr">
        <is>
          <t>411 m·s⁻¹</t>
        </is>
      </c>
      <c r="C10" s="8" t="inlineStr">
        <is>
          <t>m·s⁻¹</t>
        </is>
      </c>
      <c r="D10" s="8" t="inlineStr">
        <is>
          <t>Mean speed of air at 25°C (M=0.029 kg/mol)</t>
        </is>
      </c>
    </row>
    <row r="11">
      <c r="A11" s="4" t="inlineStr">
        <is>
          <t>N_A × u</t>
        </is>
      </c>
      <c r="B11" s="16" t="inlineStr">
        <is>
          <t>1.000000 × 10⁻³ kg·mol⁻¹</t>
        </is>
      </c>
      <c r="C11" s="4">
        <f> M_u</f>
        <v/>
      </c>
      <c r="D11" s="4" t="inlineStr">
        <is>
          <t>Molar mass constant</t>
        </is>
      </c>
    </row>
    <row r="12">
      <c r="A12" s="8" t="inlineStr">
        <is>
          <t>h / (m_e c)</t>
        </is>
      </c>
      <c r="B12" s="15" t="inlineStr">
        <is>
          <t>2.42631 × 10⁻¹²  m</t>
        </is>
      </c>
      <c r="C12" s="8">
        <f> λ_C</f>
        <v/>
      </c>
      <c r="D12" s="8" t="inlineStr">
        <is>
          <t>Compton wavelength of electron</t>
        </is>
      </c>
    </row>
    <row r="13">
      <c r="A13" s="4" t="inlineStr">
        <is>
          <t>e² / (4πε₀ħc)</t>
        </is>
      </c>
      <c r="B13" s="16" t="inlineStr">
        <is>
          <t>7.2974 × 10⁻³</t>
        </is>
      </c>
      <c r="C13" s="4">
        <f> α</f>
        <v/>
      </c>
      <c r="D13" s="4" t="inlineStr">
        <is>
          <t>Fine-structure constant from fundamentals</t>
        </is>
      </c>
    </row>
    <row r="14">
      <c r="A14" s="8" t="inlineStr">
        <is>
          <t>R_K / 2</t>
        </is>
      </c>
      <c r="B14" s="15" t="inlineStr">
        <is>
          <t>12906.4 Ω</t>
        </is>
      </c>
      <c r="C14" s="8" t="inlineStr">
        <is>
          <t>Ω</t>
        </is>
      </c>
      <c r="D14" s="8" t="inlineStr">
        <is>
          <t>Half von Klitzing (spin-degenerate)</t>
        </is>
      </c>
    </row>
    <row r="15">
      <c r="A15" s="4" t="inlineStr">
        <is>
          <t>F / (R × 298.15)</t>
        </is>
      </c>
      <c r="B15" s="16" t="inlineStr">
        <is>
          <t>38.924 V⁻¹</t>
        </is>
      </c>
      <c r="C15" s="4" t="inlineStr">
        <is>
          <t>V⁻¹</t>
        </is>
      </c>
      <c r="D15" s="4" t="inlineStr">
        <is>
          <t>F/RT at 25°C for Nernst equation</t>
        </is>
      </c>
    </row>
    <row r="16">
      <c r="A16" s="8" t="inlineStr">
        <is>
          <t>1 / (4π ε₀)</t>
        </is>
      </c>
      <c r="B16" s="15" t="inlineStr">
        <is>
          <t>8.98755 × 10⁹ N·m²·C⁻²</t>
        </is>
      </c>
      <c r="C16" s="8" t="inlineStr">
        <is>
          <t>N·m²·C⁻²</t>
        </is>
      </c>
      <c r="D16" s="8" t="inlineStr">
        <is>
          <t>Coulomb's constant k_e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68" customWidth="1" min="1" max="1"/>
    <col width="68" customWidth="1" min="2" max="2"/>
  </cols>
  <sheetData>
    <row r="1">
      <c r="A1" s="17" t="inlineStr">
        <is>
          <t>ChemE Engineering Constants Database – Sources</t>
        </is>
      </c>
      <c r="B1" s="17" t="inlineStr"/>
    </row>
    <row r="2">
      <c r="A2" s="18" t="inlineStr"/>
      <c r="B2" s="19" t="inlineStr"/>
    </row>
    <row r="3">
      <c r="A3" s="20" t="inlineStr">
        <is>
          <t>Reference</t>
        </is>
      </c>
      <c r="B3" s="20" t="inlineStr">
        <is>
          <t>URL / DOI</t>
        </is>
      </c>
    </row>
    <row r="4">
      <c r="A4" s="18" t="inlineStr">
        <is>
          <t>NIST CODATA 2018 Fundamental Physical Constants</t>
        </is>
      </c>
      <c r="B4" s="19" t="inlineStr">
        <is>
          <t>https://physics.nist.gov/cuu/Constants/</t>
        </is>
      </c>
    </row>
    <row r="5">
      <c r="A5" s="18" t="inlineStr">
        <is>
          <t>BIPM SI Brochure, 9th edition, 2019</t>
        </is>
      </c>
      <c r="B5" s="19" t="inlineStr">
        <is>
          <t>https://www.bipm.org/en/publications/si-brochure</t>
        </is>
      </c>
    </row>
    <row r="6">
      <c r="A6" s="18" t="inlineStr">
        <is>
          <t>ISO 80000-1:2022 Quantities and units – Part 1: General</t>
        </is>
      </c>
      <c r="B6" s="19" t="inlineStr">
        <is>
          <t>https://www.iso.org/standard/76921.html</t>
        </is>
      </c>
    </row>
    <row r="7">
      <c r="A7" s="18" t="inlineStr">
        <is>
          <t>IAU 2012 Resolution B2 – Astronomical Unit</t>
        </is>
      </c>
      <c r="B7" s="19" t="inlineStr">
        <is>
          <t>https://www.iau.org/static/resolutions/IAU2012_English.pdf</t>
        </is>
      </c>
    </row>
    <row r="8">
      <c r="A8" s="18" t="inlineStr">
        <is>
          <t>IAU 2015 Resolution B3 – Nominal Solar &amp; Planetary Values</t>
        </is>
      </c>
      <c r="B8" s="19" t="inlineStr">
        <is>
          <t>https://www.iau.org/static/resolutions/IAU2015_English.pdf</t>
        </is>
      </c>
    </row>
    <row r="9">
      <c r="A9" s="18" t="inlineStr">
        <is>
          <t>IERS Conventions (2010) – Geocentric Gravitational Constant</t>
        </is>
      </c>
      <c r="B9" s="19" t="inlineStr">
        <is>
          <t>https://www.iers.org/IERS/EN/Publications/TechnicalNotes/tn36.html</t>
        </is>
      </c>
    </row>
    <row r="10">
      <c r="A10" s="18" t="inlineStr">
        <is>
          <t>WGS-84 – World Geodetic System 1984 (NGA)</t>
        </is>
      </c>
      <c r="B10" s="19" t="inlineStr">
        <is>
          <t>https://earth-info.nga.mil/index.php?dir=wgs84</t>
        </is>
      </c>
    </row>
    <row r="11">
      <c r="A11" s="18" t="inlineStr">
        <is>
          <t>IAPWS-95 – Water properties</t>
        </is>
      </c>
      <c r="B11" s="19" t="inlineStr">
        <is>
          <t>http://www.iapws.org/relguide/IAPWS-95.html</t>
        </is>
      </c>
    </row>
    <row r="12">
      <c r="A12" s="18" t="inlineStr">
        <is>
          <t>Planck Collaboration 2018 (Hubble constant)</t>
        </is>
      </c>
      <c r="B12" s="19" t="inlineStr">
        <is>
          <t>https://doi.org/10.1051/0004-6361/201833910</t>
        </is>
      </c>
    </row>
    <row r="13">
      <c r="A13" s="18" t="inlineStr">
        <is>
          <t>Fixsen 2009 – CMB temperature</t>
        </is>
      </c>
      <c r="B13" s="19" t="inlineStr">
        <is>
          <t>https://doi.org/10.1088/0004-637X/707/2/916</t>
        </is>
      </c>
    </row>
    <row r="14">
      <c r="A14" s="18" t="inlineStr">
        <is>
          <t>NUBASE2020 – Kondev et al., Chinese Physics C 45, 030001 (2021)</t>
        </is>
      </c>
      <c r="B14" s="19" t="inlineStr">
        <is>
          <t>https://doi.org/10.1088/1674-1137/abddae</t>
        </is>
      </c>
    </row>
    <row r="15">
      <c r="A15" s="18" t="inlineStr"/>
      <c r="B15" s="19" t="inlineStr"/>
    </row>
    <row r="16">
      <c r="A16" s="18" t="inlineStr">
        <is>
          <t>Notes</t>
        </is>
      </c>
      <c r="B16" s="19" t="inlineStr"/>
    </row>
    <row r="17">
      <c r="A17" s="18" t="inlineStr">
        <is>
          <t>'exact' = defined exactly in SI 2019 or by mathematical definition.</t>
        </is>
      </c>
      <c r="B17" s="19" t="inlineStr"/>
    </row>
    <row r="18">
      <c r="A18" s="18" t="inlineStr">
        <is>
          <t>'approx.' = engineering reference value; varies with conditions.</t>
        </is>
      </c>
      <c r="B18" s="19" t="inlineStr"/>
    </row>
    <row r="19">
      <c r="A19" s="18" t="inlineStr">
        <is>
          <t>'derived' = calculated from other exact constants.</t>
        </is>
      </c>
      <c r="B19" s="19" t="inlineStr"/>
    </row>
    <row r="20">
      <c r="A20" s="18" t="inlineStr">
        <is>
          <t>Dimension vector notation: M=mass, L=length, T=time, Th=temperature,</t>
        </is>
      </c>
      <c r="B20" s="19" t="inlineStr"/>
    </row>
    <row r="21">
      <c r="A21" s="18" t="inlineStr">
        <is>
          <t>N=amount of substance, I=electric current, J=luminous intensity.</t>
        </is>
      </c>
      <c r="B21" s="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2026-02-21T15:30:45Z</dcterms:created>
  <dcterms:modified xmlns:dcterms="http://purl.org/dc/terms/" xmlns:xsi="http://www.w3.org/2001/XMLSchema-instance" xsi:type="dcterms:W3CDTF">2026-02-21T15:30:46Z</dcterms:modified>
</cp:coreProperties>
</file>